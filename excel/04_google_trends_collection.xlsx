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 for Top 20 queries per " sheetId="1" r:id="rId5"/>
    <sheet state="visible" name="Sweetners" sheetId="2" r:id="rId6"/>
    <sheet state="visible" name="Candy" sheetId="3" r:id="rId7"/>
    <sheet state="visible" name="Decorations" sheetId="4" r:id="rId8"/>
    <sheet state="visible" name="Popcorn" sheetId="5" r:id="rId9"/>
    <sheet state="visible" name="Chocolate" sheetId="6" r:id="rId10"/>
    <sheet state="visible" name="Jam" sheetId="7" r:id="rId11"/>
    <sheet state="visible" name="Cookies" sheetId="8" r:id="rId12"/>
    <sheet state="visible" name="WholesomeSnacks" sheetId="9" r:id="rId13"/>
    <sheet state="visible" name="Fruit" sheetId="10" r:id="rId14"/>
    <sheet state="visible" name="IceCream" sheetId="11" r:id="rId15"/>
    <sheet state="visible" name="Cakes" sheetId="12" r:id="rId16"/>
  </sheets>
  <definedNames/>
  <calcPr/>
</workbook>
</file>

<file path=xl/sharedStrings.xml><?xml version="1.0" encoding="utf-8"?>
<sst xmlns="http://schemas.openxmlformats.org/spreadsheetml/2006/main" count="273" uniqueCount="221">
  <si>
    <t>Category</t>
  </si>
  <si>
    <t>Average Interest</t>
  </si>
  <si>
    <t>Growth Rate</t>
  </si>
  <si>
    <t>Candy</t>
  </si>
  <si>
    <t>Baking Decorations &amp; Dessert Toppings</t>
  </si>
  <si>
    <t>Popcorn, Peanuts, Seeds &amp; Related Snacks</t>
  </si>
  <si>
    <t>Chocolate</t>
  </si>
  <si>
    <t>Jam, Jelly &amp; Fruit Spreads</t>
  </si>
  <si>
    <t>Cookies &amp; Biscuits</t>
  </si>
  <si>
    <t>Wholesome Snacks</t>
  </si>
  <si>
    <t>Fruit Prepared/Processed</t>
  </si>
  <si>
    <t>Ice Cream &amp; Frozen Yogurt</t>
  </si>
  <si>
    <t>Cakes, Cupcakes, Snack Cakes</t>
  </si>
  <si>
    <t>Sweetner</t>
  </si>
  <si>
    <t>Week</t>
  </si>
  <si>
    <t>Stevia: (United States)</t>
  </si>
  <si>
    <t>Monk Fruit: (United States)</t>
  </si>
  <si>
    <t>Allulose: (United States)</t>
  </si>
  <si>
    <t>Erythritol: (United States)</t>
  </si>
  <si>
    <t>Sucralose: (United States)</t>
  </si>
  <si>
    <t>Stevia</t>
  </si>
  <si>
    <t>Monk fruit</t>
  </si>
  <si>
    <t>Allulose</t>
  </si>
  <si>
    <t>Erythritol</t>
  </si>
  <si>
    <t>Sucralose</t>
  </si>
  <si>
    <t>Average</t>
  </si>
  <si>
    <t>first13 weeks average</t>
  </si>
  <si>
    <t>last13 weeks avarage</t>
  </si>
  <si>
    <t>growth</t>
  </si>
  <si>
    <t>query</t>
  </si>
  <si>
    <t>search interest</t>
  </si>
  <si>
    <t>increase percent</t>
  </si>
  <si>
    <t>sugar free hard candy</t>
  </si>
  <si>
    <t>sugar free chocolate candy</t>
  </si>
  <si>
    <t>best sugar free candy</t>
  </si>
  <si>
    <t>sugar free russell stover candy</t>
  </si>
  <si>
    <t>sugar free cotton candy</t>
  </si>
  <si>
    <t>low sugar candy</t>
  </si>
  <si>
    <t>sugar free sour candy</t>
  </si>
  <si>
    <t>sugar free candy for diabetics</t>
  </si>
  <si>
    <t>zero sugar candy</t>
  </si>
  <si>
    <t>sugar free candy near me</t>
  </si>
  <si>
    <t>sugar free gummy candy</t>
  </si>
  <si>
    <t>werthers sugar free</t>
  </si>
  <si>
    <t>sugar free candy walmart</t>
  </si>
  <si>
    <t>sugar free gum</t>
  </si>
  <si>
    <t>sugar free caramel candy</t>
  </si>
  <si>
    <t>gluten free sugar free candy</t>
  </si>
  <si>
    <t>amazon sugar free candy</t>
  </si>
  <si>
    <t>sugar free cinnamon candy</t>
  </si>
  <si>
    <t>werther's sugar free candy</t>
  </si>
  <si>
    <t>sugar free werther's candy</t>
  </si>
  <si>
    <t>sugar free caramel</t>
  </si>
  <si>
    <t>sugar free caramel sauce</t>
  </si>
  <si>
    <t>keto caramel</t>
  </si>
  <si>
    <t>sugar free caramel syrup</t>
  </si>
  <si>
    <t>keto caramel sauce</t>
  </si>
  <si>
    <t>sugar free carmel</t>
  </si>
  <si>
    <t>keto caramel recipe</t>
  </si>
  <si>
    <t>low carb caramel</t>
  </si>
  <si>
    <t>allulose</t>
  </si>
  <si>
    <t>low carb caramel sauce</t>
  </si>
  <si>
    <t>sugar free coffee syrup</t>
  </si>
  <si>
    <t>torani sugar free caramel sauce</t>
  </si>
  <si>
    <t>how to make sugar free caramel</t>
  </si>
  <si>
    <t>keto caramel sauce recipe</t>
  </si>
  <si>
    <t>keto caramel macchiato</t>
  </si>
  <si>
    <t>sugar free caramel syrup for coffee</t>
  </si>
  <si>
    <t>how do you make sugar free caramel</t>
  </si>
  <si>
    <t>sugar free caramel dip</t>
  </si>
  <si>
    <t>sugar free caramel protein latte starbucks</t>
  </si>
  <si>
    <t>Breakout</t>
  </si>
  <si>
    <t>sugar free snacks</t>
  </si>
  <si>
    <t>healthy popcorn</t>
  </si>
  <si>
    <t>lesser evil popcorn</t>
  </si>
  <si>
    <t>skinny popcorn</t>
  </si>
  <si>
    <t>snacks with no sugar</t>
  </si>
  <si>
    <t>healthy snacks</t>
  </si>
  <si>
    <t>healthy fruit snacks</t>
  </si>
  <si>
    <t>no added sugar diet</t>
  </si>
  <si>
    <t>high protein snacks</t>
  </si>
  <si>
    <t>dried fruit snacks</t>
  </si>
  <si>
    <t>healthy snacks for kids</t>
  </si>
  <si>
    <t>spiced nuts recipe no sugar</t>
  </si>
  <si>
    <t>chia seeds</t>
  </si>
  <si>
    <t>low sugar candied nuts</t>
  </si>
  <si>
    <t>crunchy peanuts</t>
  </si>
  <si>
    <t>airpop popcorn</t>
  </si>
  <si>
    <t>low card crunchy snacks</t>
  </si>
  <si>
    <t>sugar free chocolate chips</t>
  </si>
  <si>
    <t>sugar free chocolate recipe</t>
  </si>
  <si>
    <t>sugar free hot chocolate</t>
  </si>
  <si>
    <t>hot chocolate sugar free</t>
  </si>
  <si>
    <t>sugar free white chocolate</t>
  </si>
  <si>
    <t>sugar free dark chocolate</t>
  </si>
  <si>
    <t>dark chocolate sugar free</t>
  </si>
  <si>
    <t>sugar free chocolate cookies</t>
  </si>
  <si>
    <t>sugar free milk chocolate</t>
  </si>
  <si>
    <t>best sugar free chocolate</t>
  </si>
  <si>
    <t>sugar free chocolate powder</t>
  </si>
  <si>
    <t>zero sugar chocolate</t>
  </si>
  <si>
    <t>sugar free chocolate bar</t>
  </si>
  <si>
    <t>sugar free chocolate bars</t>
  </si>
  <si>
    <t>jello sugar free chocolate pudding</t>
  </si>
  <si>
    <t>russell stover sugar free chocolate</t>
  </si>
  <si>
    <t>russell stover sugar free</t>
  </si>
  <si>
    <t>sugar free chocolate near me</t>
  </si>
  <si>
    <t>lily's sugar free chocolate</t>
  </si>
  <si>
    <t>sugar free jam recipe</t>
  </si>
  <si>
    <t>sugar free strawberry jam</t>
  </si>
  <si>
    <t>sugar free jelly</t>
  </si>
  <si>
    <t>smuckers sugar free jam</t>
  </si>
  <si>
    <t>pectin</t>
  </si>
  <si>
    <t>sugar free raspberry jam</t>
  </si>
  <si>
    <t>sugar free strawberry jam recipe</t>
  </si>
  <si>
    <t>sugar free jam recipes</t>
  </si>
  <si>
    <t>how to make sugar free jam</t>
  </si>
  <si>
    <t>sugar free freezer jam</t>
  </si>
  <si>
    <t>sugar free blueberry jam</t>
  </si>
  <si>
    <t>sugar free blackberry jam</t>
  </si>
  <si>
    <t>sugar free preserves</t>
  </si>
  <si>
    <t>sugar free peach jam</t>
  </si>
  <si>
    <t>sugar free syrup</t>
  </si>
  <si>
    <t>smuckers sugar free strawberry jam</t>
  </si>
  <si>
    <t>sugar free jam for diabetics</t>
  </si>
  <si>
    <t>sugar free apricot jam</t>
  </si>
  <si>
    <t>sugar free strawberry freezer jam</t>
  </si>
  <si>
    <t>sugar free raspberry jam recipe</t>
  </si>
  <si>
    <t>sugar free gluten free cookies</t>
  </si>
  <si>
    <t>gluten free sugar free cookies</t>
  </si>
  <si>
    <t>sugar free cookies recipe</t>
  </si>
  <si>
    <t>sugar free sugar cookies recipe</t>
  </si>
  <si>
    <t>sugar free cookie</t>
  </si>
  <si>
    <t>sugar free chocolate chip cookies</t>
  </si>
  <si>
    <t>sugar free butter cookies</t>
  </si>
  <si>
    <t>no sugar cookies</t>
  </si>
  <si>
    <t>best sugar free cookies</t>
  </si>
  <si>
    <t>sugar free cookie recipe</t>
  </si>
  <si>
    <t>sugar free oatmeal cookies</t>
  </si>
  <si>
    <t>sugar free cookies recipes</t>
  </si>
  <si>
    <t>sugar free peanut butter cookies</t>
  </si>
  <si>
    <t>low sugar cookies</t>
  </si>
  <si>
    <t>healthy cookies</t>
  </si>
  <si>
    <t>gluten and sugar free cookies</t>
  </si>
  <si>
    <t>healthy sugar free cookies</t>
  </si>
  <si>
    <t>sugar free christmas cookies</t>
  </si>
  <si>
    <t>how to make sugar free cookies</t>
  </si>
  <si>
    <t>sugar free fruit snacks</t>
  </si>
  <si>
    <t>healthy snacks walmart</t>
  </si>
  <si>
    <t>healthy sweet snacks</t>
  </si>
  <si>
    <t>healthy snacks for weight loss</t>
  </si>
  <si>
    <t>healthy snacks for adults</t>
  </si>
  <si>
    <t>sugar free jello</t>
  </si>
  <si>
    <t>sugar free granola bars</t>
  </si>
  <si>
    <t>no sugar granola</t>
  </si>
  <si>
    <t>low sugar granola</t>
  </si>
  <si>
    <t>sugar free yogurt</t>
  </si>
  <si>
    <t>homemade sugar free granola</t>
  </si>
  <si>
    <t>no sugar added granola</t>
  </si>
  <si>
    <t>sugar free cereal</t>
  </si>
  <si>
    <t>sugar free granola bar recipe</t>
  </si>
  <si>
    <t>sugar free granola bars recipe</t>
  </si>
  <si>
    <t>healthiest granola</t>
  </si>
  <si>
    <t>sugar free maple syrup</t>
  </si>
  <si>
    <t>dried fruit</t>
  </si>
  <si>
    <t>dry fruit</t>
  </si>
  <si>
    <t>freeze dried</t>
  </si>
  <si>
    <t>dry fruits</t>
  </si>
  <si>
    <t>freeze dried fruit</t>
  </si>
  <si>
    <t>dehydrated fruit</t>
  </si>
  <si>
    <t>best dried fruit</t>
  </si>
  <si>
    <t>dried fruit healthy</t>
  </si>
  <si>
    <t>healthy dried fruit</t>
  </si>
  <si>
    <t>dates</t>
  </si>
  <si>
    <t>is dried fruit healthy</t>
  </si>
  <si>
    <t>dried berries</t>
  </si>
  <si>
    <t>trail mix</t>
  </si>
  <si>
    <t>costco dried fruit</t>
  </si>
  <si>
    <t>bulk dried fruit</t>
  </si>
  <si>
    <t>dried fruit walmart</t>
  </si>
  <si>
    <t>organic dried fruit</t>
  </si>
  <si>
    <t>dehydrator</t>
  </si>
  <si>
    <t>dairy free sugar free ice cream</t>
  </si>
  <si>
    <t>sugar free dairy free ice cream</t>
  </si>
  <si>
    <t>sugar free ice cream near me</t>
  </si>
  <si>
    <t>sugar free ice cream recipe</t>
  </si>
  <si>
    <t>no sugar ice cream</t>
  </si>
  <si>
    <t>low sugar ice cream</t>
  </si>
  <si>
    <t>best sugar free ice cream</t>
  </si>
  <si>
    <t>sugar free chocolate ice cream</t>
  </si>
  <si>
    <t>sugar free vanilla ice cream</t>
  </si>
  <si>
    <t>fat free sugar free ice cream</t>
  </si>
  <si>
    <t>sugar free fat free ice cream</t>
  </si>
  <si>
    <t>no sugar added ice cream</t>
  </si>
  <si>
    <t>sugar free carb free ice cream</t>
  </si>
  <si>
    <t>zero sugar ice cream</t>
  </si>
  <si>
    <t>healthy ice cream</t>
  </si>
  <si>
    <t>homemade sugar free ice cream</t>
  </si>
  <si>
    <t>sugar free homemade ice cream</t>
  </si>
  <si>
    <t>sugar free ice cream walmart</t>
  </si>
  <si>
    <t>ice cream for diabetics</t>
  </si>
  <si>
    <t>sugar free cake recipe</t>
  </si>
  <si>
    <t>sugar free cake mix</t>
  </si>
  <si>
    <t>sugar free gluten free cake</t>
  </si>
  <si>
    <t>gluten free sugar free cake</t>
  </si>
  <si>
    <t>sugar free chocolate cake</t>
  </si>
  <si>
    <t>sugar free cake near me</t>
  </si>
  <si>
    <t>sugar free birthday cake</t>
  </si>
  <si>
    <t>sugar free cake recipes</t>
  </si>
  <si>
    <t>sugar free cake frosting</t>
  </si>
  <si>
    <t>sugar free frosting</t>
  </si>
  <si>
    <t>sugar free cakes</t>
  </si>
  <si>
    <t>carrot cake sugar free</t>
  </si>
  <si>
    <t>sugar free carrot cake</t>
  </si>
  <si>
    <t>sugar free bakery</t>
  </si>
  <si>
    <t>sugar free chocolate cake recipe</t>
  </si>
  <si>
    <t>sugar free desserts</t>
  </si>
  <si>
    <t>sugar free angel food cake</t>
  </si>
  <si>
    <t>sugar free vanilla cake</t>
  </si>
  <si>
    <t>how to make sugar free cake</t>
  </si>
  <si>
    <t>sugar free lemon cake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</si>
</sst>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F1F1F"/>
      <name val="&quot;Google Sans&quot;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0F4F9"/>
        <bgColor rgb="FFF0F4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164" xfId="0" applyBorder="1" applyFont="1" applyNumberFormat="1"/>
    <xf borderId="1" fillId="0" fontId="2" numFmtId="9" xfId="0" applyBorder="1" applyFont="1" applyNumberFormat="1"/>
    <xf borderId="0" fillId="0" fontId="2" numFmtId="164" xfId="0" applyFont="1" applyNumberFormat="1"/>
    <xf borderId="0" fillId="0" fontId="3" numFmtId="0" xfId="0" applyAlignment="1" applyFont="1">
      <alignment vertical="bottom"/>
    </xf>
    <xf borderId="1" fillId="0" fontId="2" numFmtId="0" xfId="0" applyBorder="1" applyFont="1"/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9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9" xfId="0" applyFont="1" applyNumberFormat="1"/>
    <xf borderId="0" fillId="0" fontId="3" numFmtId="0" xfId="0" applyAlignment="1" applyFont="1">
      <alignment horizontal="right" readingOrder="0" vertical="bottom"/>
    </xf>
    <xf borderId="0" fillId="3" fontId="4" numFmtId="0" xfId="0" applyAlignment="1" applyFill="1" applyFont="1">
      <alignment readingOrder="0" shrinkToFit="0" wrapText="0"/>
    </xf>
    <xf borderId="0" fillId="0" fontId="3" numFmtId="9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9" xfId="0" applyAlignment="1" applyFont="1" applyNumberFormat="1">
      <alignment horizontal="right" vertical="bottom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4.0"/>
    <col customWidth="1" min="3" max="3" width="10.88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>
        <f>Candy!B22</f>
        <v>29.5</v>
      </c>
      <c r="C2" s="6">
        <f>Candy!C22</f>
        <v>0.109</v>
      </c>
    </row>
    <row r="3">
      <c r="A3" s="4" t="s">
        <v>4</v>
      </c>
      <c r="B3" s="5">
        <f>Decorations!B22</f>
        <v>12.95</v>
      </c>
      <c r="C3" s="6">
        <f>Decorations!C22</f>
        <v>-0.06052631579</v>
      </c>
    </row>
    <row r="4">
      <c r="A4" s="4" t="s">
        <v>5</v>
      </c>
      <c r="B4" s="5">
        <f>Popcorn!B22</f>
        <v>27.05</v>
      </c>
      <c r="C4" s="6">
        <f>Popcorn!C22</f>
        <v>0.12</v>
      </c>
    </row>
    <row r="5">
      <c r="A5" s="4" t="s">
        <v>6</v>
      </c>
      <c r="B5" s="5">
        <f>Chocolate!B22</f>
        <v>42.5</v>
      </c>
      <c r="C5" s="6">
        <f>Chocolate!C22</f>
        <v>0.035</v>
      </c>
    </row>
    <row r="6">
      <c r="A6" s="4" t="s">
        <v>7</v>
      </c>
      <c r="B6" s="5">
        <f>Jam!B22</f>
        <v>28.6</v>
      </c>
      <c r="C6" s="6">
        <f>Jam!C22</f>
        <v>0.037</v>
      </c>
    </row>
    <row r="7">
      <c r="A7" s="4" t="s">
        <v>8</v>
      </c>
      <c r="B7" s="5">
        <f>Cookies!B22</f>
        <v>33.7</v>
      </c>
      <c r="C7" s="6">
        <f>Cookies!C22</f>
        <v>-0.055</v>
      </c>
    </row>
    <row r="8">
      <c r="A8" s="4" t="s">
        <v>9</v>
      </c>
      <c r="B8" s="5">
        <f>WholesomeSnacks!B22</f>
        <v>43.1</v>
      </c>
      <c r="C8" s="6">
        <f>WholesomeSnacks!C22</f>
        <v>0.07473684211</v>
      </c>
    </row>
    <row r="9">
      <c r="A9" s="4" t="s">
        <v>10</v>
      </c>
      <c r="B9" s="5">
        <f>Fruit!B22</f>
        <v>11.05</v>
      </c>
      <c r="C9" s="6">
        <f>Fruit!C22</f>
        <v>0.083</v>
      </c>
    </row>
    <row r="10">
      <c r="A10" s="4" t="s">
        <v>11</v>
      </c>
      <c r="B10" s="5">
        <f>IceCream!B22</f>
        <v>48.7</v>
      </c>
      <c r="C10" s="6">
        <f>IceCream!C22</f>
        <v>-0.0305</v>
      </c>
    </row>
    <row r="11">
      <c r="A11" s="4" t="s">
        <v>12</v>
      </c>
      <c r="B11" s="5">
        <f>Cakes!B22</f>
        <v>37.15</v>
      </c>
      <c r="C11" s="6">
        <f>Cakes!C22</f>
        <v>-0.036</v>
      </c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</v>
      </c>
      <c r="B1" s="2" t="s">
        <v>1</v>
      </c>
      <c r="C1" s="1" t="s">
        <v>2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19</v>
      </c>
    </row>
    <row r="2">
      <c r="A2" s="4" t="s">
        <v>20</v>
      </c>
      <c r="B2" s="5">
        <f>F55</f>
        <v>75.90566038</v>
      </c>
      <c r="C2" s="9">
        <f>((F57-F56) / F56)* 100</f>
        <v>-9.989909183</v>
      </c>
      <c r="E2" s="10">
        <v>45676.0</v>
      </c>
      <c r="F2" s="11">
        <v>76.0</v>
      </c>
      <c r="G2" s="11">
        <v>56.0</v>
      </c>
      <c r="H2" s="11">
        <v>30.0</v>
      </c>
      <c r="I2" s="11">
        <v>30.0</v>
      </c>
      <c r="J2" s="11">
        <v>38.0</v>
      </c>
    </row>
    <row r="3">
      <c r="A3" s="4" t="s">
        <v>21</v>
      </c>
      <c r="B3" s="5">
        <f>G55</f>
        <v>43.41509434</v>
      </c>
      <c r="C3" s="9">
        <f>((G57-G56) / G56)* 100</f>
        <v>2.264808362</v>
      </c>
      <c r="E3" s="10">
        <v>45683.0</v>
      </c>
      <c r="F3" s="11">
        <v>75.0</v>
      </c>
      <c r="G3" s="11">
        <v>55.0</v>
      </c>
      <c r="H3" s="11">
        <v>33.0</v>
      </c>
      <c r="I3" s="11">
        <v>30.0</v>
      </c>
      <c r="J3" s="11">
        <v>37.0</v>
      </c>
    </row>
    <row r="4">
      <c r="A4" s="4" t="s">
        <v>22</v>
      </c>
      <c r="B4" s="5">
        <f>H55</f>
        <v>29.54716981</v>
      </c>
      <c r="C4" s="9">
        <f>((H57-H56) / H56)* 100</f>
        <v>-3.183023873</v>
      </c>
      <c r="E4" s="10">
        <v>45690.0</v>
      </c>
      <c r="F4" s="11">
        <v>74.0</v>
      </c>
      <c r="G4" s="11">
        <v>54.0</v>
      </c>
      <c r="H4" s="11">
        <v>30.0</v>
      </c>
      <c r="I4" s="11">
        <v>27.0</v>
      </c>
      <c r="J4" s="11">
        <v>37.0</v>
      </c>
    </row>
    <row r="5">
      <c r="A5" s="4" t="s">
        <v>23</v>
      </c>
      <c r="B5" s="5">
        <f>I55</f>
        <v>29.22641509</v>
      </c>
      <c r="C5" s="9">
        <f>((I57-I56) / I56)* 100</f>
        <v>-4.748603352</v>
      </c>
      <c r="E5" s="10">
        <v>45697.0</v>
      </c>
      <c r="F5" s="11">
        <v>75.0</v>
      </c>
      <c r="G5" s="11">
        <v>46.0</v>
      </c>
      <c r="H5" s="11">
        <v>26.0</v>
      </c>
      <c r="I5" s="11">
        <v>26.0</v>
      </c>
      <c r="J5" s="11">
        <v>33.0</v>
      </c>
    </row>
    <row r="6">
      <c r="A6" s="4" t="s">
        <v>24</v>
      </c>
      <c r="B6" s="5">
        <f>J55</f>
        <v>35.71698113</v>
      </c>
      <c r="C6" s="9">
        <f>((J57-J56) / J56)* 100</f>
        <v>-14.22680412</v>
      </c>
      <c r="E6" s="10">
        <v>45704.0</v>
      </c>
      <c r="F6" s="11">
        <v>83.0</v>
      </c>
      <c r="G6" s="11">
        <v>45.0</v>
      </c>
      <c r="H6" s="11">
        <v>27.0</v>
      </c>
      <c r="I6" s="11">
        <v>28.0</v>
      </c>
      <c r="J6" s="11">
        <v>38.0</v>
      </c>
    </row>
    <row r="7">
      <c r="B7" s="7"/>
      <c r="E7" s="10">
        <v>45711.0</v>
      </c>
      <c r="F7" s="11">
        <v>80.0</v>
      </c>
      <c r="G7" s="11">
        <v>40.0</v>
      </c>
      <c r="H7" s="11">
        <v>27.0</v>
      </c>
      <c r="I7" s="11">
        <v>28.0</v>
      </c>
      <c r="J7" s="11">
        <v>39.0</v>
      </c>
    </row>
    <row r="8">
      <c r="B8" s="7"/>
      <c r="E8" s="10">
        <v>45718.0</v>
      </c>
      <c r="F8" s="11">
        <v>76.0</v>
      </c>
      <c r="G8" s="11">
        <v>39.0</v>
      </c>
      <c r="H8" s="11">
        <v>31.0</v>
      </c>
      <c r="I8" s="11">
        <v>28.0</v>
      </c>
      <c r="J8" s="11">
        <v>37.0</v>
      </c>
    </row>
    <row r="9">
      <c r="B9" s="7"/>
      <c r="E9" s="10">
        <v>45725.0</v>
      </c>
      <c r="F9" s="11">
        <v>75.0</v>
      </c>
      <c r="G9" s="11">
        <v>41.0</v>
      </c>
      <c r="H9" s="11">
        <v>30.0</v>
      </c>
      <c r="I9" s="11">
        <v>27.0</v>
      </c>
      <c r="J9" s="11">
        <v>38.0</v>
      </c>
    </row>
    <row r="10">
      <c r="B10" s="7"/>
      <c r="E10" s="10">
        <v>45732.0</v>
      </c>
      <c r="F10" s="11">
        <v>76.0</v>
      </c>
      <c r="G10" s="11">
        <v>42.0</v>
      </c>
      <c r="H10" s="11">
        <v>27.0</v>
      </c>
      <c r="I10" s="11">
        <v>27.0</v>
      </c>
      <c r="J10" s="11">
        <v>37.0</v>
      </c>
    </row>
    <row r="11">
      <c r="B11" s="7"/>
      <c r="E11" s="10">
        <v>45739.0</v>
      </c>
      <c r="F11" s="11">
        <v>74.0</v>
      </c>
      <c r="G11" s="11">
        <v>38.0</v>
      </c>
      <c r="H11" s="11">
        <v>30.0</v>
      </c>
      <c r="I11" s="11">
        <v>27.0</v>
      </c>
      <c r="J11" s="11">
        <v>38.0</v>
      </c>
    </row>
    <row r="12">
      <c r="E12" s="10">
        <v>45746.0</v>
      </c>
      <c r="F12" s="11">
        <v>76.0</v>
      </c>
      <c r="G12" s="11">
        <v>38.0</v>
      </c>
      <c r="H12" s="11">
        <v>31.0</v>
      </c>
      <c r="I12" s="11">
        <v>28.0</v>
      </c>
      <c r="J12" s="11">
        <v>43.0</v>
      </c>
    </row>
    <row r="13">
      <c r="E13" s="10">
        <v>45753.0</v>
      </c>
      <c r="F13" s="11">
        <v>75.0</v>
      </c>
      <c r="G13" s="11">
        <v>40.0</v>
      </c>
      <c r="H13" s="11">
        <v>28.0</v>
      </c>
      <c r="I13" s="11">
        <v>25.0</v>
      </c>
      <c r="J13" s="11">
        <v>35.0</v>
      </c>
    </row>
    <row r="14">
      <c r="E14" s="10">
        <v>45760.0</v>
      </c>
      <c r="F14" s="11">
        <v>76.0</v>
      </c>
      <c r="G14" s="11">
        <v>40.0</v>
      </c>
      <c r="H14" s="11">
        <v>27.0</v>
      </c>
      <c r="I14" s="11">
        <v>27.0</v>
      </c>
      <c r="J14" s="11">
        <v>35.0</v>
      </c>
    </row>
    <row r="15">
      <c r="E15" s="10">
        <v>45767.0</v>
      </c>
      <c r="F15" s="11">
        <v>74.0</v>
      </c>
      <c r="G15" s="11">
        <v>38.0</v>
      </c>
      <c r="H15" s="11">
        <v>32.0</v>
      </c>
      <c r="I15" s="11">
        <v>25.0</v>
      </c>
      <c r="J15" s="11">
        <v>39.0</v>
      </c>
    </row>
    <row r="16">
      <c r="E16" s="10">
        <v>45774.0</v>
      </c>
      <c r="F16" s="11">
        <v>75.0</v>
      </c>
      <c r="G16" s="11">
        <v>39.0</v>
      </c>
      <c r="H16" s="11">
        <v>28.0</v>
      </c>
      <c r="I16" s="11">
        <v>37.0</v>
      </c>
      <c r="J16" s="11">
        <v>36.0</v>
      </c>
    </row>
    <row r="17">
      <c r="E17" s="10">
        <v>45781.0</v>
      </c>
      <c r="F17" s="11">
        <v>76.0</v>
      </c>
      <c r="G17" s="11">
        <v>40.0</v>
      </c>
      <c r="H17" s="11">
        <v>27.0</v>
      </c>
      <c r="I17" s="11">
        <v>30.0</v>
      </c>
      <c r="J17" s="11">
        <v>34.0</v>
      </c>
    </row>
    <row r="18">
      <c r="E18" s="10">
        <v>45788.0</v>
      </c>
      <c r="F18" s="11">
        <v>80.0</v>
      </c>
      <c r="G18" s="11">
        <v>40.0</v>
      </c>
      <c r="H18" s="11">
        <v>26.0</v>
      </c>
      <c r="I18" s="11">
        <v>29.0</v>
      </c>
      <c r="J18" s="11">
        <v>39.0</v>
      </c>
    </row>
    <row r="19">
      <c r="E19" s="10">
        <v>45795.0</v>
      </c>
      <c r="F19" s="11">
        <v>77.0</v>
      </c>
      <c r="G19" s="11">
        <v>42.0</v>
      </c>
      <c r="H19" s="11">
        <v>30.0</v>
      </c>
      <c r="I19" s="11">
        <v>28.0</v>
      </c>
      <c r="J19" s="11">
        <v>35.0</v>
      </c>
    </row>
    <row r="20">
      <c r="E20" s="10">
        <v>45802.0</v>
      </c>
      <c r="F20" s="11">
        <v>85.0</v>
      </c>
      <c r="G20" s="11">
        <v>42.0</v>
      </c>
      <c r="H20" s="11">
        <v>34.0</v>
      </c>
      <c r="I20" s="11">
        <v>25.0</v>
      </c>
      <c r="J20" s="11">
        <v>38.0</v>
      </c>
    </row>
    <row r="21">
      <c r="E21" s="10">
        <v>45809.0</v>
      </c>
      <c r="F21" s="11">
        <v>82.0</v>
      </c>
      <c r="G21" s="11">
        <v>43.0</v>
      </c>
      <c r="H21" s="11">
        <v>33.0</v>
      </c>
      <c r="I21" s="11">
        <v>28.0</v>
      </c>
      <c r="J21" s="11">
        <v>39.0</v>
      </c>
    </row>
    <row r="22">
      <c r="E22" s="10">
        <v>45816.0</v>
      </c>
      <c r="F22" s="11">
        <v>79.0</v>
      </c>
      <c r="G22" s="11">
        <v>37.0</v>
      </c>
      <c r="H22" s="11">
        <v>33.0</v>
      </c>
      <c r="I22" s="11">
        <v>31.0</v>
      </c>
      <c r="J22" s="11">
        <v>37.0</v>
      </c>
    </row>
    <row r="23">
      <c r="E23" s="10">
        <v>45823.0</v>
      </c>
      <c r="F23" s="11">
        <v>79.0</v>
      </c>
      <c r="G23" s="11">
        <v>46.0</v>
      </c>
      <c r="H23" s="11">
        <v>33.0</v>
      </c>
      <c r="I23" s="11">
        <v>31.0</v>
      </c>
      <c r="J23" s="11">
        <v>35.0</v>
      </c>
    </row>
    <row r="24">
      <c r="E24" s="10">
        <v>45830.0</v>
      </c>
      <c r="F24" s="11">
        <v>79.0</v>
      </c>
      <c r="G24" s="11">
        <v>50.0</v>
      </c>
      <c r="H24" s="11">
        <v>28.0</v>
      </c>
      <c r="I24" s="11">
        <v>35.0</v>
      </c>
      <c r="J24" s="11">
        <v>40.0</v>
      </c>
    </row>
    <row r="25">
      <c r="E25" s="10">
        <v>45837.0</v>
      </c>
      <c r="F25" s="11">
        <v>84.0</v>
      </c>
      <c r="G25" s="11">
        <v>44.0</v>
      </c>
      <c r="H25" s="11">
        <v>44.0</v>
      </c>
      <c r="I25" s="11">
        <v>28.0</v>
      </c>
      <c r="J25" s="11">
        <v>36.0</v>
      </c>
    </row>
    <row r="26">
      <c r="E26" s="10">
        <v>45844.0</v>
      </c>
      <c r="F26" s="11">
        <v>83.0</v>
      </c>
      <c r="G26" s="11">
        <v>44.0</v>
      </c>
      <c r="H26" s="11">
        <v>36.0</v>
      </c>
      <c r="I26" s="11">
        <v>28.0</v>
      </c>
      <c r="J26" s="11">
        <v>39.0</v>
      </c>
    </row>
    <row r="27">
      <c r="E27" s="10">
        <v>45851.0</v>
      </c>
      <c r="F27" s="11">
        <v>92.0</v>
      </c>
      <c r="G27" s="11">
        <v>53.0</v>
      </c>
      <c r="H27" s="11">
        <v>33.0</v>
      </c>
      <c r="I27" s="11">
        <v>64.0</v>
      </c>
      <c r="J27" s="11">
        <v>39.0</v>
      </c>
    </row>
    <row r="28">
      <c r="E28" s="10">
        <v>45858.0</v>
      </c>
      <c r="F28" s="11">
        <v>100.0</v>
      </c>
      <c r="G28" s="11">
        <v>57.0</v>
      </c>
      <c r="H28" s="11">
        <v>35.0</v>
      </c>
      <c r="I28" s="11">
        <v>73.0</v>
      </c>
      <c r="J28" s="11">
        <v>42.0</v>
      </c>
    </row>
    <row r="29">
      <c r="E29" s="10">
        <v>45865.0</v>
      </c>
      <c r="F29" s="11">
        <v>99.0</v>
      </c>
      <c r="G29" s="11">
        <v>48.0</v>
      </c>
      <c r="H29" s="11">
        <v>33.0</v>
      </c>
      <c r="I29" s="11">
        <v>46.0</v>
      </c>
      <c r="J29" s="11">
        <v>47.0</v>
      </c>
    </row>
    <row r="30">
      <c r="E30" s="10">
        <v>45872.0</v>
      </c>
      <c r="F30" s="11">
        <v>98.0</v>
      </c>
      <c r="G30" s="11">
        <v>50.0</v>
      </c>
      <c r="H30" s="11">
        <v>33.0</v>
      </c>
      <c r="I30" s="11">
        <v>33.0</v>
      </c>
      <c r="J30" s="11">
        <v>44.0</v>
      </c>
    </row>
    <row r="31">
      <c r="E31" s="10">
        <v>45879.0</v>
      </c>
      <c r="F31" s="11">
        <v>84.0</v>
      </c>
      <c r="G31" s="11">
        <v>42.0</v>
      </c>
      <c r="H31" s="11">
        <v>31.0</v>
      </c>
      <c r="I31" s="11">
        <v>30.0</v>
      </c>
      <c r="J31" s="11">
        <v>41.0</v>
      </c>
    </row>
    <row r="32">
      <c r="E32" s="10">
        <v>45886.0</v>
      </c>
      <c r="F32" s="11">
        <v>80.0</v>
      </c>
      <c r="G32" s="11">
        <v>43.0</v>
      </c>
      <c r="H32" s="11">
        <v>32.0</v>
      </c>
      <c r="I32" s="11">
        <v>27.0</v>
      </c>
      <c r="J32" s="11">
        <v>38.0</v>
      </c>
    </row>
    <row r="33">
      <c r="E33" s="10">
        <v>45893.0</v>
      </c>
      <c r="F33" s="11">
        <v>76.0</v>
      </c>
      <c r="G33" s="11">
        <v>41.0</v>
      </c>
      <c r="H33" s="11">
        <v>29.0</v>
      </c>
      <c r="I33" s="11">
        <v>28.0</v>
      </c>
      <c r="J33" s="11">
        <v>35.0</v>
      </c>
    </row>
    <row r="34">
      <c r="E34" s="10">
        <v>45900.0</v>
      </c>
      <c r="F34" s="11">
        <v>77.0</v>
      </c>
      <c r="G34" s="11">
        <v>41.0</v>
      </c>
      <c r="H34" s="11">
        <v>30.0</v>
      </c>
      <c r="I34" s="11">
        <v>28.0</v>
      </c>
      <c r="J34" s="11">
        <v>36.0</v>
      </c>
    </row>
    <row r="35">
      <c r="E35" s="10">
        <v>45907.0</v>
      </c>
      <c r="F35" s="11">
        <v>70.0</v>
      </c>
      <c r="G35" s="11">
        <v>35.0</v>
      </c>
      <c r="H35" s="11">
        <v>27.0</v>
      </c>
      <c r="I35" s="11">
        <v>25.0</v>
      </c>
      <c r="J35" s="11">
        <v>35.0</v>
      </c>
    </row>
    <row r="36">
      <c r="E36" s="10">
        <v>45914.0</v>
      </c>
      <c r="F36" s="11">
        <v>67.0</v>
      </c>
      <c r="G36" s="11">
        <v>36.0</v>
      </c>
      <c r="H36" s="11">
        <v>26.0</v>
      </c>
      <c r="I36" s="11">
        <v>24.0</v>
      </c>
      <c r="J36" s="11">
        <v>32.0</v>
      </c>
    </row>
    <row r="37">
      <c r="E37" s="10">
        <v>45921.0</v>
      </c>
      <c r="F37" s="11">
        <v>69.0</v>
      </c>
      <c r="G37" s="11">
        <v>39.0</v>
      </c>
      <c r="H37" s="11">
        <v>28.0</v>
      </c>
      <c r="I37" s="11">
        <v>24.0</v>
      </c>
      <c r="J37" s="11">
        <v>32.0</v>
      </c>
    </row>
    <row r="38">
      <c r="E38" s="10">
        <v>45928.0</v>
      </c>
      <c r="F38" s="11">
        <v>67.0</v>
      </c>
      <c r="G38" s="11">
        <v>37.0</v>
      </c>
      <c r="H38" s="11">
        <v>27.0</v>
      </c>
      <c r="I38" s="11">
        <v>24.0</v>
      </c>
      <c r="J38" s="11">
        <v>30.0</v>
      </c>
    </row>
    <row r="39">
      <c r="E39" s="10">
        <v>45935.0</v>
      </c>
      <c r="F39" s="11">
        <v>70.0</v>
      </c>
      <c r="G39" s="11">
        <v>39.0</v>
      </c>
      <c r="H39" s="11">
        <v>27.0</v>
      </c>
      <c r="I39" s="11">
        <v>24.0</v>
      </c>
      <c r="J39" s="11">
        <v>33.0</v>
      </c>
    </row>
    <row r="40">
      <c r="E40" s="10">
        <v>45942.0</v>
      </c>
      <c r="F40" s="11">
        <v>69.0</v>
      </c>
      <c r="G40" s="11">
        <v>36.0</v>
      </c>
      <c r="H40" s="11">
        <v>24.0</v>
      </c>
      <c r="I40" s="11">
        <v>23.0</v>
      </c>
      <c r="J40" s="11">
        <v>31.0</v>
      </c>
    </row>
    <row r="41">
      <c r="E41" s="10">
        <v>45949.0</v>
      </c>
      <c r="F41" s="11">
        <v>69.0</v>
      </c>
      <c r="G41" s="11">
        <v>38.0</v>
      </c>
      <c r="H41" s="11">
        <v>25.0</v>
      </c>
      <c r="I41" s="11">
        <v>22.0</v>
      </c>
      <c r="J41" s="11">
        <v>30.0</v>
      </c>
    </row>
    <row r="42">
      <c r="E42" s="10">
        <v>45956.0</v>
      </c>
      <c r="F42" s="11">
        <v>66.0</v>
      </c>
      <c r="G42" s="11">
        <v>44.0</v>
      </c>
      <c r="H42" s="11">
        <v>26.0</v>
      </c>
      <c r="I42" s="11">
        <v>22.0</v>
      </c>
      <c r="J42" s="11">
        <v>34.0</v>
      </c>
    </row>
    <row r="43">
      <c r="E43" s="10">
        <v>45963.0</v>
      </c>
      <c r="F43" s="11">
        <v>71.0</v>
      </c>
      <c r="G43" s="11">
        <v>51.0</v>
      </c>
      <c r="H43" s="11">
        <v>28.0</v>
      </c>
      <c r="I43" s="11">
        <v>34.0</v>
      </c>
      <c r="J43" s="11">
        <v>34.0</v>
      </c>
    </row>
    <row r="44">
      <c r="E44" s="10">
        <v>45970.0</v>
      </c>
      <c r="F44" s="11">
        <v>72.0</v>
      </c>
      <c r="G44" s="11">
        <v>46.0</v>
      </c>
      <c r="H44" s="11">
        <v>28.0</v>
      </c>
      <c r="I44" s="11">
        <v>31.0</v>
      </c>
      <c r="J44" s="11">
        <v>33.0</v>
      </c>
    </row>
    <row r="45">
      <c r="E45" s="10">
        <v>45977.0</v>
      </c>
      <c r="F45" s="11">
        <v>67.0</v>
      </c>
      <c r="G45" s="11">
        <v>37.0</v>
      </c>
      <c r="H45" s="11">
        <v>26.0</v>
      </c>
      <c r="I45" s="11">
        <v>23.0</v>
      </c>
      <c r="J45" s="11">
        <v>30.0</v>
      </c>
    </row>
    <row r="46">
      <c r="E46" s="10">
        <v>45984.0</v>
      </c>
      <c r="F46" s="11">
        <v>67.0</v>
      </c>
      <c r="G46" s="11">
        <v>45.0</v>
      </c>
      <c r="H46" s="11">
        <v>27.0</v>
      </c>
      <c r="I46" s="11">
        <v>23.0</v>
      </c>
      <c r="J46" s="11">
        <v>27.0</v>
      </c>
    </row>
    <row r="47">
      <c r="E47" s="10">
        <v>45991.0</v>
      </c>
      <c r="F47" s="11">
        <v>67.0</v>
      </c>
      <c r="G47" s="11">
        <v>39.0</v>
      </c>
      <c r="H47" s="11">
        <v>26.0</v>
      </c>
      <c r="I47" s="11">
        <v>26.0</v>
      </c>
      <c r="J47" s="11">
        <v>32.0</v>
      </c>
    </row>
    <row r="48">
      <c r="E48" s="10">
        <v>45998.0</v>
      </c>
      <c r="F48" s="11">
        <v>64.0</v>
      </c>
      <c r="G48" s="11">
        <v>37.0</v>
      </c>
      <c r="H48" s="11">
        <v>27.0</v>
      </c>
      <c r="I48" s="11">
        <v>22.0</v>
      </c>
      <c r="J48" s="11">
        <v>29.0</v>
      </c>
    </row>
    <row r="49">
      <c r="E49" s="10">
        <v>46005.0</v>
      </c>
      <c r="F49" s="11">
        <v>56.0</v>
      </c>
      <c r="G49" s="11">
        <v>33.0</v>
      </c>
      <c r="H49" s="11">
        <v>23.0</v>
      </c>
      <c r="I49" s="11">
        <v>20.0</v>
      </c>
      <c r="J49" s="11">
        <v>28.0</v>
      </c>
    </row>
    <row r="50">
      <c r="E50" s="10">
        <v>46012.0</v>
      </c>
      <c r="F50" s="11">
        <v>61.0</v>
      </c>
      <c r="G50" s="11">
        <v>40.0</v>
      </c>
      <c r="H50" s="11">
        <v>27.0</v>
      </c>
      <c r="I50" s="11">
        <v>23.0</v>
      </c>
      <c r="J50" s="11">
        <v>29.0</v>
      </c>
    </row>
    <row r="51">
      <c r="E51" s="10">
        <v>46019.0</v>
      </c>
      <c r="F51" s="11">
        <v>76.0</v>
      </c>
      <c r="G51" s="11">
        <v>45.0</v>
      </c>
      <c r="H51" s="11">
        <v>31.0</v>
      </c>
      <c r="I51" s="11">
        <v>30.0</v>
      </c>
      <c r="J51" s="11">
        <v>33.0</v>
      </c>
    </row>
    <row r="52">
      <c r="E52" s="10">
        <v>46026.0</v>
      </c>
      <c r="F52" s="11">
        <v>79.0</v>
      </c>
      <c r="G52" s="11">
        <v>51.0</v>
      </c>
      <c r="H52" s="11">
        <v>33.0</v>
      </c>
      <c r="I52" s="11">
        <v>31.0</v>
      </c>
      <c r="J52" s="11">
        <v>38.0</v>
      </c>
    </row>
    <row r="53">
      <c r="E53" s="10">
        <v>46033.0</v>
      </c>
      <c r="F53" s="11">
        <v>76.0</v>
      </c>
      <c r="G53" s="11">
        <v>56.0</v>
      </c>
      <c r="H53" s="11">
        <v>32.0</v>
      </c>
      <c r="I53" s="11">
        <v>28.0</v>
      </c>
      <c r="J53" s="11">
        <v>35.0</v>
      </c>
    </row>
    <row r="54">
      <c r="E54" s="10">
        <v>46040.0</v>
      </c>
      <c r="F54" s="11">
        <v>70.0</v>
      </c>
      <c r="G54" s="11">
        <v>63.0</v>
      </c>
      <c r="H54" s="11">
        <v>31.0</v>
      </c>
      <c r="I54" s="11">
        <v>28.0</v>
      </c>
      <c r="J54" s="11">
        <v>34.0</v>
      </c>
    </row>
    <row r="55">
      <c r="E55" s="12" t="s">
        <v>25</v>
      </c>
      <c r="F55" s="13">
        <f t="shared" ref="F55:J55" si="1">AVERAGE(F2:F54)</f>
        <v>75.90566038</v>
      </c>
      <c r="G55" s="13">
        <f t="shared" si="1"/>
        <v>43.41509434</v>
      </c>
      <c r="H55" s="13">
        <f t="shared" si="1"/>
        <v>29.54716981</v>
      </c>
      <c r="I55" s="13">
        <f t="shared" si="1"/>
        <v>29.22641509</v>
      </c>
      <c r="J55" s="13">
        <f t="shared" si="1"/>
        <v>35.71698113</v>
      </c>
    </row>
    <row r="56">
      <c r="E56" s="12" t="s">
        <v>26</v>
      </c>
      <c r="F56" s="13">
        <f t="shared" ref="F56:J56" si="2">AVERAGE(F2:F14)</f>
        <v>76.23076923</v>
      </c>
      <c r="G56" s="13">
        <f t="shared" si="2"/>
        <v>44.15384615</v>
      </c>
      <c r="H56" s="13">
        <f t="shared" si="2"/>
        <v>29</v>
      </c>
      <c r="I56" s="13">
        <f t="shared" si="2"/>
        <v>27.53846154</v>
      </c>
      <c r="J56" s="13">
        <f t="shared" si="2"/>
        <v>37.30769231</v>
      </c>
    </row>
    <row r="57">
      <c r="E57" s="12" t="s">
        <v>27</v>
      </c>
      <c r="F57" s="13">
        <f t="shared" ref="F57:J57" si="3">AVERAGE(F42:F54)</f>
        <v>68.61538462</v>
      </c>
      <c r="G57" s="13">
        <f t="shared" si="3"/>
        <v>45.15384615</v>
      </c>
      <c r="H57" s="13">
        <f t="shared" si="3"/>
        <v>28.07692308</v>
      </c>
      <c r="I57" s="13">
        <f t="shared" si="3"/>
        <v>26.23076923</v>
      </c>
      <c r="J57" s="13">
        <f t="shared" si="3"/>
        <v>32</v>
      </c>
    </row>
    <row r="58">
      <c r="E58" s="12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32</v>
      </c>
      <c r="B2" s="11">
        <v>100.0</v>
      </c>
      <c r="C2" s="14">
        <v>0.0</v>
      </c>
    </row>
    <row r="3">
      <c r="A3" s="8" t="s">
        <v>33</v>
      </c>
      <c r="B3" s="11">
        <v>61.0</v>
      </c>
      <c r="C3" s="14">
        <v>0.0</v>
      </c>
    </row>
    <row r="4">
      <c r="A4" s="8" t="s">
        <v>34</v>
      </c>
      <c r="B4" s="11">
        <v>59.0</v>
      </c>
      <c r="C4" s="14">
        <v>0.2</v>
      </c>
    </row>
    <row r="5">
      <c r="A5" s="8" t="s">
        <v>35</v>
      </c>
      <c r="B5" s="11">
        <v>37.0</v>
      </c>
      <c r="C5" s="14">
        <v>0.1</v>
      </c>
    </row>
    <row r="6">
      <c r="A6" s="8" t="s">
        <v>36</v>
      </c>
      <c r="B6" s="11">
        <v>29.0</v>
      </c>
      <c r="C6" s="14">
        <v>0.2</v>
      </c>
    </row>
    <row r="7">
      <c r="A7" s="8" t="s">
        <v>37</v>
      </c>
      <c r="B7" s="11">
        <v>28.0</v>
      </c>
      <c r="C7" s="14">
        <v>-0.01</v>
      </c>
    </row>
    <row r="8">
      <c r="A8" s="8" t="s">
        <v>38</v>
      </c>
      <c r="B8" s="11">
        <v>26.0</v>
      </c>
      <c r="C8" s="14">
        <v>0.2</v>
      </c>
    </row>
    <row r="9">
      <c r="A9" s="8" t="s">
        <v>39</v>
      </c>
      <c r="B9" s="11">
        <v>25.0</v>
      </c>
      <c r="C9" s="14">
        <v>0.06</v>
      </c>
    </row>
    <row r="10">
      <c r="A10" s="8" t="s">
        <v>40</v>
      </c>
      <c r="B10" s="11">
        <v>24.0</v>
      </c>
      <c r="C10" s="14">
        <v>0.2</v>
      </c>
    </row>
    <row r="11">
      <c r="A11" s="8" t="s">
        <v>41</v>
      </c>
      <c r="B11" s="11">
        <v>22.0</v>
      </c>
      <c r="C11" s="14">
        <v>-0.03</v>
      </c>
    </row>
    <row r="12">
      <c r="A12" s="8" t="s">
        <v>42</v>
      </c>
      <c r="B12" s="11">
        <v>21.0</v>
      </c>
      <c r="C12" s="14">
        <v>0.08</v>
      </c>
    </row>
    <row r="13">
      <c r="A13" s="8" t="s">
        <v>43</v>
      </c>
      <c r="B13" s="11">
        <v>20.0</v>
      </c>
      <c r="C13" s="14">
        <v>0.2</v>
      </c>
    </row>
    <row r="14">
      <c r="A14" s="8" t="s">
        <v>44</v>
      </c>
      <c r="B14" s="11">
        <v>19.0</v>
      </c>
      <c r="C14" s="14">
        <v>-0.05</v>
      </c>
    </row>
    <row r="15">
      <c r="A15" s="8" t="s">
        <v>45</v>
      </c>
      <c r="B15" s="11">
        <v>18.0</v>
      </c>
      <c r="C15" s="14">
        <v>0.4</v>
      </c>
    </row>
    <row r="16">
      <c r="A16" s="8" t="s">
        <v>46</v>
      </c>
      <c r="B16" s="11">
        <v>18.0</v>
      </c>
      <c r="C16" s="14">
        <v>-0.02</v>
      </c>
    </row>
    <row r="17">
      <c r="A17" s="8" t="s">
        <v>47</v>
      </c>
      <c r="B17" s="11">
        <v>17.0</v>
      </c>
      <c r="C17" s="14">
        <v>0.1</v>
      </c>
    </row>
    <row r="18">
      <c r="A18" s="8" t="s">
        <v>48</v>
      </c>
      <c r="B18" s="11">
        <v>17.0</v>
      </c>
      <c r="C18" s="14">
        <v>-0.05</v>
      </c>
    </row>
    <row r="19">
      <c r="A19" s="8" t="s">
        <v>49</v>
      </c>
      <c r="B19" s="11">
        <v>17.0</v>
      </c>
      <c r="C19" s="14">
        <v>-0.3</v>
      </c>
    </row>
    <row r="20">
      <c r="A20" s="8" t="s">
        <v>50</v>
      </c>
      <c r="B20" s="11">
        <v>16.0</v>
      </c>
      <c r="C20" s="14">
        <v>0.5</v>
      </c>
    </row>
    <row r="21">
      <c r="A21" s="8" t="s">
        <v>51</v>
      </c>
      <c r="B21" s="11">
        <v>16.0</v>
      </c>
      <c r="C21" s="14">
        <v>0.4</v>
      </c>
    </row>
    <row r="22">
      <c r="A22" s="15" t="s">
        <v>25</v>
      </c>
      <c r="B22" s="3">
        <f t="shared" ref="B22:C22" si="1">AVERAGE(B2:B21)</f>
        <v>29.5</v>
      </c>
      <c r="C22" s="16">
        <f t="shared" si="1"/>
        <v>0.109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52</v>
      </c>
      <c r="B2" s="11">
        <v>100.0</v>
      </c>
      <c r="C2" s="14">
        <v>-0.05</v>
      </c>
    </row>
    <row r="3">
      <c r="A3" s="8" t="s">
        <v>53</v>
      </c>
      <c r="B3" s="11">
        <v>53.0</v>
      </c>
      <c r="C3" s="14">
        <v>0.4</v>
      </c>
    </row>
    <row r="4">
      <c r="A4" s="8" t="s">
        <v>54</v>
      </c>
      <c r="B4" s="11">
        <v>29.0</v>
      </c>
      <c r="C4" s="14">
        <v>-0.1</v>
      </c>
    </row>
    <row r="5">
      <c r="A5" s="8" t="s">
        <v>55</v>
      </c>
      <c r="B5" s="11">
        <v>13.0</v>
      </c>
      <c r="C5" s="14">
        <v>-0.6</v>
      </c>
    </row>
    <row r="6">
      <c r="A6" s="8" t="s">
        <v>56</v>
      </c>
      <c r="B6" s="11">
        <v>12.0</v>
      </c>
      <c r="C6" s="14">
        <v>-0.2</v>
      </c>
    </row>
    <row r="7">
      <c r="A7" s="8" t="s">
        <v>57</v>
      </c>
      <c r="B7" s="11">
        <v>11.0</v>
      </c>
      <c r="C7" s="14">
        <v>0.07</v>
      </c>
    </row>
    <row r="8">
      <c r="A8" s="8" t="s">
        <v>58</v>
      </c>
      <c r="B8" s="11">
        <v>8.0</v>
      </c>
      <c r="C8" s="14">
        <v>0.2</v>
      </c>
    </row>
    <row r="9">
      <c r="A9" s="8" t="s">
        <v>59</v>
      </c>
      <c r="B9" s="11">
        <v>4.0</v>
      </c>
      <c r="C9" s="14">
        <v>0.0</v>
      </c>
    </row>
    <row r="10">
      <c r="A10" s="8" t="s">
        <v>60</v>
      </c>
      <c r="B10" s="11">
        <v>4.0</v>
      </c>
      <c r="C10" s="14">
        <v>0.1</v>
      </c>
    </row>
    <row r="11">
      <c r="A11" s="8" t="s">
        <v>61</v>
      </c>
      <c r="B11" s="11">
        <v>4.0</v>
      </c>
      <c r="C11" s="14">
        <v>0.5</v>
      </c>
    </row>
    <row r="12">
      <c r="A12" s="8" t="s">
        <v>62</v>
      </c>
      <c r="B12" s="11">
        <v>4.0</v>
      </c>
      <c r="C12" s="14">
        <v>-0.2</v>
      </c>
    </row>
    <row r="13">
      <c r="A13" s="8" t="s">
        <v>63</v>
      </c>
      <c r="B13" s="11">
        <v>3.0</v>
      </c>
      <c r="C13" s="14">
        <v>-0.07</v>
      </c>
    </row>
    <row r="14">
      <c r="A14" s="8" t="s">
        <v>64</v>
      </c>
      <c r="B14" s="11">
        <v>3.0</v>
      </c>
      <c r="C14" s="14">
        <v>-0.4</v>
      </c>
    </row>
    <row r="15">
      <c r="A15" s="8" t="s">
        <v>46</v>
      </c>
      <c r="B15" s="11">
        <v>2.0</v>
      </c>
      <c r="C15" s="14">
        <v>-0.4</v>
      </c>
    </row>
    <row r="16">
      <c r="A16" s="8" t="s">
        <v>65</v>
      </c>
      <c r="B16" s="11">
        <v>2.0</v>
      </c>
      <c r="C16" s="14">
        <v>-0.5</v>
      </c>
    </row>
    <row r="17">
      <c r="A17" s="8" t="s">
        <v>66</v>
      </c>
      <c r="B17" s="11">
        <v>2.0</v>
      </c>
      <c r="C17" s="14">
        <v>0.3</v>
      </c>
    </row>
    <row r="18">
      <c r="A18" s="8" t="s">
        <v>67</v>
      </c>
      <c r="B18" s="11">
        <v>2.0</v>
      </c>
      <c r="C18" s="14">
        <v>-0.1</v>
      </c>
    </row>
    <row r="19">
      <c r="A19" s="8" t="s">
        <v>68</v>
      </c>
      <c r="B19" s="11">
        <v>2.0</v>
      </c>
      <c r="C19" s="14">
        <v>0.5</v>
      </c>
    </row>
    <row r="20">
      <c r="A20" s="8" t="s">
        <v>69</v>
      </c>
      <c r="B20" s="11">
        <v>1.0</v>
      </c>
      <c r="C20" s="14">
        <v>-0.6</v>
      </c>
    </row>
    <row r="21">
      <c r="A21" s="8" t="s">
        <v>70</v>
      </c>
      <c r="B21" s="11">
        <v>0.0</v>
      </c>
      <c r="C21" s="17" t="s">
        <v>71</v>
      </c>
    </row>
    <row r="22">
      <c r="A22" s="15" t="s">
        <v>25</v>
      </c>
      <c r="B22" s="3">
        <f t="shared" ref="B22:C22" si="1">AVERAGE(B2:B21)</f>
        <v>12.95</v>
      </c>
      <c r="C22" s="16">
        <f t="shared" si="1"/>
        <v>-0.06052631579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72</v>
      </c>
      <c r="B2" s="11">
        <v>100.0</v>
      </c>
      <c r="C2" s="14">
        <v>-0.07</v>
      </c>
    </row>
    <row r="3">
      <c r="A3" s="8" t="s">
        <v>73</v>
      </c>
      <c r="B3" s="11">
        <v>79.0</v>
      </c>
      <c r="C3" s="14">
        <v>0.3</v>
      </c>
    </row>
    <row r="4">
      <c r="A4" s="8" t="s">
        <v>74</v>
      </c>
      <c r="B4" s="11">
        <v>58.0</v>
      </c>
      <c r="C4" s="14">
        <v>1.1</v>
      </c>
    </row>
    <row r="5">
      <c r="A5" s="8" t="s">
        <v>75</v>
      </c>
      <c r="B5" s="11">
        <v>43.0</v>
      </c>
      <c r="C5" s="14">
        <v>-0.3</v>
      </c>
    </row>
    <row r="6">
      <c r="A6" s="8" t="s">
        <v>76</v>
      </c>
      <c r="B6" s="11">
        <v>100.0</v>
      </c>
      <c r="C6" s="14">
        <v>0.04</v>
      </c>
    </row>
    <row r="7">
      <c r="A7" s="8" t="s">
        <v>77</v>
      </c>
      <c r="B7" s="11">
        <v>66.0</v>
      </c>
      <c r="C7" s="14">
        <v>0.07</v>
      </c>
    </row>
    <row r="8">
      <c r="A8" s="8" t="s">
        <v>72</v>
      </c>
      <c r="B8" s="11">
        <v>28.0</v>
      </c>
      <c r="C8" s="14">
        <v>-0.3</v>
      </c>
    </row>
    <row r="9">
      <c r="A9" s="8" t="s">
        <v>78</v>
      </c>
      <c r="B9" s="11">
        <v>15.0</v>
      </c>
      <c r="C9" s="14">
        <v>-0.07</v>
      </c>
    </row>
    <row r="10">
      <c r="A10" s="8" t="s">
        <v>79</v>
      </c>
      <c r="B10" s="11">
        <v>12.0</v>
      </c>
      <c r="C10" s="14">
        <v>-0.3</v>
      </c>
    </row>
    <row r="11">
      <c r="A11" s="8" t="s">
        <v>80</v>
      </c>
      <c r="B11" s="11">
        <v>10.0</v>
      </c>
      <c r="C11" s="14">
        <v>-0.3</v>
      </c>
    </row>
    <row r="12">
      <c r="A12" s="8" t="s">
        <v>81</v>
      </c>
      <c r="B12" s="11">
        <v>9.0</v>
      </c>
      <c r="C12" s="14">
        <v>-0.07</v>
      </c>
    </row>
    <row r="13">
      <c r="A13" s="8" t="s">
        <v>82</v>
      </c>
      <c r="B13" s="11">
        <v>5.0</v>
      </c>
      <c r="C13" s="14">
        <v>0.5</v>
      </c>
    </row>
    <row r="14">
      <c r="A14" s="18" t="s">
        <v>83</v>
      </c>
      <c r="B14" s="17">
        <v>3.0</v>
      </c>
      <c r="C14" s="19">
        <v>0.7</v>
      </c>
    </row>
    <row r="15">
      <c r="A15" s="18" t="s">
        <v>84</v>
      </c>
      <c r="B15" s="17">
        <v>3.0</v>
      </c>
      <c r="C15" s="19">
        <v>0.2</v>
      </c>
    </row>
    <row r="16">
      <c r="A16" s="20" t="s">
        <v>83</v>
      </c>
      <c r="B16" s="17">
        <v>3.0</v>
      </c>
      <c r="C16" s="19">
        <v>0.7</v>
      </c>
    </row>
    <row r="17">
      <c r="A17" s="20" t="s">
        <v>84</v>
      </c>
      <c r="B17" s="17">
        <v>3.0</v>
      </c>
      <c r="C17" s="19">
        <v>0.2</v>
      </c>
    </row>
    <row r="18">
      <c r="A18" s="20" t="s">
        <v>85</v>
      </c>
      <c r="B18" s="17">
        <v>1.0</v>
      </c>
      <c r="C18" s="19">
        <v>0.05</v>
      </c>
    </row>
    <row r="19">
      <c r="A19" s="20" t="s">
        <v>86</v>
      </c>
      <c r="B19" s="17">
        <v>1.0</v>
      </c>
      <c r="C19" s="19">
        <v>-0.2</v>
      </c>
    </row>
    <row r="20">
      <c r="A20" s="20" t="s">
        <v>87</v>
      </c>
      <c r="B20" s="17">
        <v>1.0</v>
      </c>
      <c r="C20" s="19">
        <v>0.08</v>
      </c>
    </row>
    <row r="21">
      <c r="A21" s="20" t="s">
        <v>88</v>
      </c>
      <c r="B21" s="17">
        <v>1.0</v>
      </c>
      <c r="C21" s="19">
        <v>0.07</v>
      </c>
    </row>
    <row r="22">
      <c r="A22" s="15" t="s">
        <v>25</v>
      </c>
      <c r="B22" s="3">
        <f t="shared" ref="B22:C22" si="1">AVERAGE(B2:B21)</f>
        <v>27.05</v>
      </c>
      <c r="C22" s="16">
        <f t="shared" si="1"/>
        <v>0.12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89</v>
      </c>
      <c r="B2" s="11">
        <v>100.0</v>
      </c>
      <c r="C2" s="14">
        <v>-0.1</v>
      </c>
    </row>
    <row r="3">
      <c r="A3" s="8" t="s">
        <v>90</v>
      </c>
      <c r="B3" s="11">
        <v>70.0</v>
      </c>
      <c r="C3" s="14">
        <v>0.05</v>
      </c>
    </row>
    <row r="4">
      <c r="A4" s="8" t="s">
        <v>91</v>
      </c>
      <c r="B4" s="11">
        <v>69.0</v>
      </c>
      <c r="C4" s="14">
        <v>-0.07</v>
      </c>
    </row>
    <row r="5">
      <c r="A5" s="8" t="s">
        <v>92</v>
      </c>
      <c r="B5" s="11">
        <v>69.0</v>
      </c>
      <c r="C5" s="14">
        <v>-0.08</v>
      </c>
    </row>
    <row r="6">
      <c r="A6" s="8" t="s">
        <v>93</v>
      </c>
      <c r="B6" s="11">
        <v>65.0</v>
      </c>
      <c r="C6" s="14">
        <v>0.1</v>
      </c>
    </row>
    <row r="7">
      <c r="A7" s="8" t="s">
        <v>94</v>
      </c>
      <c r="B7" s="11">
        <v>65.0</v>
      </c>
      <c r="C7" s="14">
        <v>0.08</v>
      </c>
    </row>
    <row r="8">
      <c r="A8" s="8" t="s">
        <v>95</v>
      </c>
      <c r="B8" s="11">
        <v>64.0</v>
      </c>
      <c r="C8" s="14">
        <v>0.07</v>
      </c>
    </row>
    <row r="9">
      <c r="A9" s="8" t="s">
        <v>96</v>
      </c>
      <c r="B9" s="11">
        <v>62.0</v>
      </c>
      <c r="C9" s="14">
        <v>-0.06</v>
      </c>
    </row>
    <row r="10">
      <c r="A10" s="8" t="s">
        <v>97</v>
      </c>
      <c r="B10" s="11">
        <v>47.0</v>
      </c>
      <c r="C10" s="14">
        <v>0.1</v>
      </c>
    </row>
    <row r="11">
      <c r="A11" s="8" t="s">
        <v>98</v>
      </c>
      <c r="B11" s="11">
        <v>45.0</v>
      </c>
      <c r="C11" s="14">
        <v>0.2</v>
      </c>
    </row>
    <row r="12">
      <c r="A12" s="8" t="s">
        <v>33</v>
      </c>
      <c r="B12" s="11">
        <v>31.0</v>
      </c>
      <c r="C12" s="14">
        <v>-0.04</v>
      </c>
    </row>
    <row r="13">
      <c r="A13" s="8" t="s">
        <v>99</v>
      </c>
      <c r="B13" s="11">
        <v>30.0</v>
      </c>
      <c r="C13" s="14">
        <v>0.3</v>
      </c>
    </row>
    <row r="14">
      <c r="A14" s="8" t="s">
        <v>100</v>
      </c>
      <c r="B14" s="11">
        <v>22.0</v>
      </c>
      <c r="C14" s="14">
        <v>0.1</v>
      </c>
    </row>
    <row r="15">
      <c r="A15" s="8" t="s">
        <v>101</v>
      </c>
      <c r="B15" s="11">
        <v>18.0</v>
      </c>
      <c r="C15" s="14">
        <v>0.1</v>
      </c>
    </row>
    <row r="16">
      <c r="A16" s="8" t="s">
        <v>102</v>
      </c>
      <c r="B16" s="11">
        <v>17.0</v>
      </c>
      <c r="C16" s="14">
        <v>0.04</v>
      </c>
    </row>
    <row r="17">
      <c r="A17" s="8" t="s">
        <v>103</v>
      </c>
      <c r="B17" s="11">
        <v>16.0</v>
      </c>
      <c r="C17" s="14">
        <v>-0.09</v>
      </c>
    </row>
    <row r="18">
      <c r="A18" s="8" t="s">
        <v>104</v>
      </c>
      <c r="B18" s="11">
        <v>16.0</v>
      </c>
      <c r="C18" s="14">
        <v>0.05</v>
      </c>
    </row>
    <row r="19">
      <c r="A19" s="8" t="s">
        <v>105</v>
      </c>
      <c r="B19" s="11">
        <v>16.0</v>
      </c>
      <c r="C19" s="14">
        <v>0.01</v>
      </c>
    </row>
    <row r="20">
      <c r="A20" s="8" t="s">
        <v>106</v>
      </c>
      <c r="B20" s="11">
        <v>15.0</v>
      </c>
      <c r="C20" s="14">
        <v>-0.06</v>
      </c>
    </row>
    <row r="21">
      <c r="A21" s="8" t="s">
        <v>107</v>
      </c>
      <c r="B21" s="11">
        <v>13.0</v>
      </c>
      <c r="C21" s="14">
        <v>0.0</v>
      </c>
    </row>
    <row r="22">
      <c r="A22" s="15" t="s">
        <v>25</v>
      </c>
      <c r="B22" s="3">
        <f t="shared" ref="B22:C22" si="1">AVERAGE(B2:B21)</f>
        <v>42.5</v>
      </c>
      <c r="C22" s="16">
        <f t="shared" si="1"/>
        <v>0.035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108</v>
      </c>
      <c r="B2" s="11">
        <v>100.0</v>
      </c>
      <c r="C2" s="14">
        <v>0.02</v>
      </c>
    </row>
    <row r="3">
      <c r="A3" s="8" t="s">
        <v>109</v>
      </c>
      <c r="B3" s="11">
        <v>98.0</v>
      </c>
      <c r="C3" s="14">
        <v>0.0</v>
      </c>
    </row>
    <row r="4">
      <c r="A4" s="8" t="s">
        <v>110</v>
      </c>
      <c r="B4" s="11">
        <v>39.0</v>
      </c>
      <c r="C4" s="14">
        <v>-0.03</v>
      </c>
    </row>
    <row r="5">
      <c r="A5" s="8" t="s">
        <v>111</v>
      </c>
      <c r="B5" s="11">
        <v>35.0</v>
      </c>
      <c r="C5" s="14">
        <v>0.03</v>
      </c>
    </row>
    <row r="6">
      <c r="A6" s="8" t="s">
        <v>112</v>
      </c>
      <c r="B6" s="11">
        <v>31.0</v>
      </c>
      <c r="C6" s="14">
        <v>-0.06</v>
      </c>
    </row>
    <row r="7">
      <c r="A7" s="8" t="s">
        <v>113</v>
      </c>
      <c r="B7" s="11">
        <v>31.0</v>
      </c>
      <c r="C7" s="14">
        <v>0.1</v>
      </c>
    </row>
    <row r="8">
      <c r="A8" s="8" t="s">
        <v>114</v>
      </c>
      <c r="B8" s="11">
        <v>25.0</v>
      </c>
      <c r="C8" s="14">
        <v>0.07</v>
      </c>
    </row>
    <row r="9">
      <c r="A9" s="8" t="s">
        <v>115</v>
      </c>
      <c r="B9" s="11">
        <v>24.0</v>
      </c>
      <c r="C9" s="14">
        <v>-0.2</v>
      </c>
    </row>
    <row r="10">
      <c r="A10" s="8" t="s">
        <v>116</v>
      </c>
      <c r="B10" s="11">
        <v>23.0</v>
      </c>
      <c r="C10" s="14">
        <v>-0.2</v>
      </c>
    </row>
    <row r="11">
      <c r="A11" s="8" t="s">
        <v>117</v>
      </c>
      <c r="B11" s="11">
        <v>23.0</v>
      </c>
      <c r="C11" s="14">
        <v>-0.06</v>
      </c>
    </row>
    <row r="12">
      <c r="A12" s="8" t="s">
        <v>118</v>
      </c>
      <c r="B12" s="11">
        <v>21.0</v>
      </c>
      <c r="C12" s="14">
        <v>-0.3</v>
      </c>
    </row>
    <row r="13">
      <c r="A13" s="8" t="s">
        <v>119</v>
      </c>
      <c r="B13" s="11">
        <v>20.0</v>
      </c>
      <c r="C13" s="14">
        <v>0.1</v>
      </c>
    </row>
    <row r="14">
      <c r="A14" s="8" t="s">
        <v>120</v>
      </c>
      <c r="B14" s="11">
        <v>18.0</v>
      </c>
      <c r="C14" s="14">
        <v>-0.08</v>
      </c>
    </row>
    <row r="15">
      <c r="A15" s="8" t="s">
        <v>121</v>
      </c>
      <c r="B15" s="11">
        <v>16.0</v>
      </c>
      <c r="C15" s="14">
        <v>-0.1</v>
      </c>
    </row>
    <row r="16">
      <c r="A16" s="8" t="s">
        <v>122</v>
      </c>
      <c r="B16" s="11">
        <v>15.0</v>
      </c>
      <c r="C16" s="14">
        <v>0.5</v>
      </c>
    </row>
    <row r="17">
      <c r="A17" s="8" t="s">
        <v>123</v>
      </c>
      <c r="B17" s="11">
        <v>12.0</v>
      </c>
      <c r="C17" s="14">
        <v>0.7</v>
      </c>
    </row>
    <row r="18">
      <c r="A18" s="8" t="s">
        <v>124</v>
      </c>
      <c r="B18" s="11">
        <v>12.0</v>
      </c>
      <c r="C18" s="14">
        <v>0.4</v>
      </c>
    </row>
    <row r="19">
      <c r="A19" s="8" t="s">
        <v>125</v>
      </c>
      <c r="B19" s="11">
        <v>11.0</v>
      </c>
      <c r="C19" s="14">
        <v>0.07</v>
      </c>
    </row>
    <row r="20">
      <c r="A20" s="8" t="s">
        <v>126</v>
      </c>
      <c r="B20" s="11">
        <v>9.0</v>
      </c>
      <c r="C20" s="14">
        <v>-0.2</v>
      </c>
    </row>
    <row r="21">
      <c r="A21" s="8" t="s">
        <v>127</v>
      </c>
      <c r="B21" s="11">
        <v>9.0</v>
      </c>
      <c r="C21" s="14">
        <v>-0.02</v>
      </c>
    </row>
    <row r="22">
      <c r="A22" s="15" t="s">
        <v>25</v>
      </c>
      <c r="B22" s="3">
        <f t="shared" ref="B22:C22" si="1">AVERAGE(B2:B21)</f>
        <v>28.6</v>
      </c>
      <c r="C22" s="16">
        <f t="shared" si="1"/>
        <v>0.037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128</v>
      </c>
      <c r="B2" s="11">
        <v>100.0</v>
      </c>
      <c r="C2" s="14">
        <v>-0.04</v>
      </c>
    </row>
    <row r="3">
      <c r="A3" s="8" t="s">
        <v>129</v>
      </c>
      <c r="B3" s="11">
        <v>97.0</v>
      </c>
      <c r="C3" s="14">
        <v>-0.09</v>
      </c>
    </row>
    <row r="4">
      <c r="A4" s="8" t="s">
        <v>130</v>
      </c>
      <c r="B4" s="11">
        <v>57.0</v>
      </c>
      <c r="C4" s="14">
        <v>-0.03</v>
      </c>
    </row>
    <row r="5">
      <c r="A5" s="8" t="s">
        <v>131</v>
      </c>
      <c r="B5" s="11">
        <v>57.0</v>
      </c>
      <c r="C5" s="14">
        <v>-0.03</v>
      </c>
    </row>
    <row r="6">
      <c r="A6" s="8" t="s">
        <v>96</v>
      </c>
      <c r="B6" s="11">
        <v>48.0</v>
      </c>
      <c r="C6" s="14">
        <v>-0.05</v>
      </c>
    </row>
    <row r="7">
      <c r="A7" s="8" t="s">
        <v>132</v>
      </c>
      <c r="B7" s="11">
        <v>41.0</v>
      </c>
      <c r="C7" s="14">
        <v>-0.08</v>
      </c>
    </row>
    <row r="8">
      <c r="A8" s="8" t="s">
        <v>133</v>
      </c>
      <c r="B8" s="11">
        <v>35.0</v>
      </c>
      <c r="C8" s="14">
        <v>-0.04</v>
      </c>
    </row>
    <row r="9">
      <c r="A9" s="8" t="s">
        <v>134</v>
      </c>
      <c r="B9" s="11">
        <v>32.0</v>
      </c>
      <c r="C9" s="14">
        <v>-0.09</v>
      </c>
    </row>
    <row r="10">
      <c r="A10" s="8" t="s">
        <v>135</v>
      </c>
      <c r="B10" s="11">
        <v>25.0</v>
      </c>
      <c r="C10" s="14">
        <v>-0.09</v>
      </c>
    </row>
    <row r="11">
      <c r="A11" s="8" t="s">
        <v>136</v>
      </c>
      <c r="B11" s="11">
        <v>23.0</v>
      </c>
      <c r="C11" s="14">
        <v>0.01</v>
      </c>
    </row>
    <row r="12">
      <c r="A12" s="8" t="s">
        <v>137</v>
      </c>
      <c r="B12" s="11">
        <v>23.0</v>
      </c>
      <c r="C12" s="14">
        <v>-0.07</v>
      </c>
    </row>
    <row r="13">
      <c r="A13" s="8" t="s">
        <v>138</v>
      </c>
      <c r="B13" s="11">
        <v>22.0</v>
      </c>
      <c r="C13" s="14">
        <v>-0.2</v>
      </c>
    </row>
    <row r="14">
      <c r="A14" s="8" t="s">
        <v>139</v>
      </c>
      <c r="B14" s="11">
        <v>19.0</v>
      </c>
      <c r="C14" s="14">
        <v>-0.2</v>
      </c>
    </row>
    <row r="15">
      <c r="A15" s="8" t="s">
        <v>140</v>
      </c>
      <c r="B15" s="11">
        <v>19.0</v>
      </c>
      <c r="C15" s="14">
        <v>-0.3</v>
      </c>
    </row>
    <row r="16">
      <c r="A16" s="8" t="s">
        <v>141</v>
      </c>
      <c r="B16" s="11">
        <v>16.0</v>
      </c>
      <c r="C16" s="14">
        <v>-0.09</v>
      </c>
    </row>
    <row r="17">
      <c r="A17" s="8" t="s">
        <v>142</v>
      </c>
      <c r="B17" s="11">
        <v>13.0</v>
      </c>
      <c r="C17" s="14">
        <v>0.1</v>
      </c>
    </row>
    <row r="18">
      <c r="A18" s="8" t="s">
        <v>143</v>
      </c>
      <c r="B18" s="11">
        <v>12.0</v>
      </c>
      <c r="C18" s="14">
        <v>0.1</v>
      </c>
    </row>
    <row r="19">
      <c r="A19" s="8" t="s">
        <v>144</v>
      </c>
      <c r="B19" s="11">
        <v>12.0</v>
      </c>
      <c r="C19" s="14">
        <v>0.06</v>
      </c>
    </row>
    <row r="20">
      <c r="A20" s="8" t="s">
        <v>145</v>
      </c>
      <c r="B20" s="11">
        <v>12.0</v>
      </c>
      <c r="C20" s="14">
        <v>-0.05</v>
      </c>
    </row>
    <row r="21">
      <c r="A21" s="8" t="s">
        <v>146</v>
      </c>
      <c r="B21" s="11">
        <v>11.0</v>
      </c>
      <c r="C21" s="14">
        <v>0.08</v>
      </c>
    </row>
    <row r="22">
      <c r="A22" s="15" t="s">
        <v>25</v>
      </c>
      <c r="B22" s="3">
        <f t="shared" ref="B22:C22" si="1">AVERAGE(B2:B21)</f>
        <v>33.7</v>
      </c>
      <c r="C22" s="16">
        <f t="shared" si="1"/>
        <v>-0.055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147</v>
      </c>
      <c r="B2" s="11">
        <v>100.0</v>
      </c>
      <c r="C2" s="14">
        <v>-0.04</v>
      </c>
    </row>
    <row r="3">
      <c r="A3" s="8" t="s">
        <v>80</v>
      </c>
      <c r="B3" s="11">
        <v>86.0</v>
      </c>
      <c r="C3" s="14">
        <v>0.9</v>
      </c>
    </row>
    <row r="4">
      <c r="A4" s="8" t="s">
        <v>148</v>
      </c>
      <c r="B4" s="11">
        <v>65.0</v>
      </c>
      <c r="C4" s="14">
        <v>1.4</v>
      </c>
    </row>
    <row r="5">
      <c r="A5" s="8" t="s">
        <v>149</v>
      </c>
      <c r="B5" s="11">
        <v>62.0</v>
      </c>
      <c r="C5" s="14">
        <v>-0.3</v>
      </c>
    </row>
    <row r="6">
      <c r="A6" s="8" t="s">
        <v>150</v>
      </c>
      <c r="B6" s="11">
        <v>53.0</v>
      </c>
      <c r="C6" s="14">
        <v>-0.2</v>
      </c>
    </row>
    <row r="7">
      <c r="A7" s="8" t="s">
        <v>151</v>
      </c>
      <c r="B7" s="11">
        <v>30.0</v>
      </c>
      <c r="C7" s="11" t="s">
        <v>71</v>
      </c>
    </row>
    <row r="8">
      <c r="A8" s="8" t="s">
        <v>152</v>
      </c>
      <c r="B8" s="11">
        <v>30.0</v>
      </c>
      <c r="C8" s="14">
        <v>-0.4</v>
      </c>
    </row>
    <row r="9">
      <c r="A9" s="8" t="s">
        <v>153</v>
      </c>
      <c r="B9" s="11">
        <v>94.0</v>
      </c>
      <c r="C9" s="14">
        <v>-0.1</v>
      </c>
    </row>
    <row r="10">
      <c r="A10" s="8" t="s">
        <v>154</v>
      </c>
      <c r="B10" s="11">
        <v>73.0</v>
      </c>
      <c r="C10" s="14">
        <v>0.2</v>
      </c>
    </row>
    <row r="11">
      <c r="A11" s="8" t="s">
        <v>155</v>
      </c>
      <c r="B11" s="11">
        <v>67.0</v>
      </c>
      <c r="C11" s="14">
        <v>0.2</v>
      </c>
    </row>
    <row r="12">
      <c r="A12" s="8" t="s">
        <v>156</v>
      </c>
      <c r="B12" s="11">
        <v>54.0</v>
      </c>
      <c r="C12" s="14">
        <v>0.1</v>
      </c>
    </row>
    <row r="13">
      <c r="A13" s="8" t="s">
        <v>157</v>
      </c>
      <c r="B13" s="11">
        <v>31.0</v>
      </c>
      <c r="C13" s="14">
        <v>-0.1</v>
      </c>
    </row>
    <row r="14">
      <c r="A14" s="8" t="s">
        <v>158</v>
      </c>
      <c r="B14" s="11">
        <v>27.0</v>
      </c>
      <c r="C14" s="14">
        <v>0.6</v>
      </c>
    </row>
    <row r="15">
      <c r="A15" s="8" t="s">
        <v>159</v>
      </c>
      <c r="B15" s="11">
        <v>27.0</v>
      </c>
      <c r="C15" s="14">
        <v>0.1</v>
      </c>
    </row>
    <row r="16">
      <c r="A16" s="8" t="s">
        <v>72</v>
      </c>
      <c r="B16" s="11">
        <v>21.0</v>
      </c>
      <c r="C16" s="14">
        <v>-0.02</v>
      </c>
    </row>
    <row r="17">
      <c r="A17" s="8" t="s">
        <v>160</v>
      </c>
      <c r="B17" s="11">
        <v>12.0</v>
      </c>
      <c r="C17" s="14">
        <v>-0.4</v>
      </c>
    </row>
    <row r="18">
      <c r="A18" s="8" t="s">
        <v>161</v>
      </c>
      <c r="B18" s="11">
        <v>12.0</v>
      </c>
      <c r="C18" s="14">
        <v>-0.5</v>
      </c>
    </row>
    <row r="19">
      <c r="A19" s="8" t="s">
        <v>162</v>
      </c>
      <c r="B19" s="11">
        <v>9.0</v>
      </c>
      <c r="C19" s="14">
        <v>0.9</v>
      </c>
    </row>
    <row r="20">
      <c r="A20" s="8" t="s">
        <v>163</v>
      </c>
      <c r="B20" s="11">
        <v>9.0</v>
      </c>
      <c r="C20" s="14">
        <v>0.08</v>
      </c>
    </row>
    <row r="21">
      <c r="A21" s="8" t="s">
        <v>152</v>
      </c>
      <c r="B21" s="11">
        <v>0.0</v>
      </c>
      <c r="C21" s="14">
        <v>-1.0</v>
      </c>
    </row>
    <row r="22">
      <c r="A22" s="15" t="s">
        <v>25</v>
      </c>
      <c r="B22" s="3">
        <f t="shared" ref="B22:C22" si="1">AVERAGE(B2:B21)</f>
        <v>43.1</v>
      </c>
      <c r="C22" s="16">
        <f t="shared" si="1"/>
        <v>0.07473684211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164</v>
      </c>
      <c r="B2" s="11">
        <v>100.0</v>
      </c>
      <c r="C2" s="14">
        <v>0.08</v>
      </c>
    </row>
    <row r="3">
      <c r="A3" s="8" t="s">
        <v>165</v>
      </c>
      <c r="B3" s="11">
        <v>23.0</v>
      </c>
      <c r="C3" s="14">
        <v>0.1</v>
      </c>
    </row>
    <row r="4">
      <c r="A4" s="8" t="s">
        <v>166</v>
      </c>
      <c r="B4" s="11">
        <v>18.0</v>
      </c>
      <c r="C4" s="14">
        <v>-0.09</v>
      </c>
    </row>
    <row r="5">
      <c r="A5" s="8" t="s">
        <v>167</v>
      </c>
      <c r="B5" s="11">
        <v>17.0</v>
      </c>
      <c r="C5" s="14">
        <v>0.3</v>
      </c>
    </row>
    <row r="6">
      <c r="A6" s="8" t="s">
        <v>168</v>
      </c>
      <c r="B6" s="11">
        <v>16.0</v>
      </c>
      <c r="C6" s="14">
        <v>-0.07</v>
      </c>
    </row>
    <row r="7">
      <c r="A7" s="8" t="s">
        <v>169</v>
      </c>
      <c r="B7" s="11">
        <v>8.0</v>
      </c>
      <c r="C7" s="19">
        <v>1.0</v>
      </c>
    </row>
    <row r="8">
      <c r="A8" s="8" t="s">
        <v>170</v>
      </c>
      <c r="B8" s="11">
        <v>6.0</v>
      </c>
      <c r="C8" s="14">
        <v>0.3</v>
      </c>
    </row>
    <row r="9">
      <c r="A9" s="8" t="s">
        <v>171</v>
      </c>
      <c r="B9" s="11">
        <v>5.0</v>
      </c>
      <c r="C9" s="14">
        <v>-0.09</v>
      </c>
    </row>
    <row r="10">
      <c r="A10" s="8" t="s">
        <v>172</v>
      </c>
      <c r="B10" s="11">
        <v>5.0</v>
      </c>
      <c r="C10" s="14">
        <v>-0.1</v>
      </c>
    </row>
    <row r="11">
      <c r="A11" s="8" t="s">
        <v>81</v>
      </c>
      <c r="B11" s="11">
        <v>4.0</v>
      </c>
      <c r="C11" s="14">
        <v>0.08</v>
      </c>
    </row>
    <row r="12">
      <c r="A12" s="8" t="s">
        <v>173</v>
      </c>
      <c r="B12" s="11">
        <v>3.0</v>
      </c>
      <c r="C12" s="19">
        <v>0.1</v>
      </c>
    </row>
    <row r="13">
      <c r="A13" s="8" t="s">
        <v>174</v>
      </c>
      <c r="B13" s="11">
        <v>3.0</v>
      </c>
      <c r="C13" s="14">
        <v>-0.2</v>
      </c>
    </row>
    <row r="14">
      <c r="A14" s="8" t="s">
        <v>175</v>
      </c>
      <c r="B14" s="11">
        <v>3.0</v>
      </c>
      <c r="C14" s="14">
        <v>0.2</v>
      </c>
    </row>
    <row r="15">
      <c r="A15" s="8" t="s">
        <v>176</v>
      </c>
      <c r="B15" s="11">
        <v>2.0</v>
      </c>
      <c r="C15" s="14">
        <v>0.07</v>
      </c>
    </row>
    <row r="16">
      <c r="A16" s="8" t="s">
        <v>177</v>
      </c>
      <c r="B16" s="11">
        <v>2.0</v>
      </c>
      <c r="C16" s="14">
        <v>0.07</v>
      </c>
    </row>
    <row r="17">
      <c r="A17" s="8" t="s">
        <v>178</v>
      </c>
      <c r="B17" s="11">
        <v>2.0</v>
      </c>
      <c r="C17" s="14">
        <v>0.08</v>
      </c>
    </row>
    <row r="18">
      <c r="A18" s="8" t="s">
        <v>179</v>
      </c>
      <c r="B18" s="11">
        <v>1.0</v>
      </c>
      <c r="C18" s="14">
        <v>-0.09</v>
      </c>
    </row>
    <row r="19">
      <c r="A19" s="8" t="s">
        <v>180</v>
      </c>
      <c r="B19" s="11">
        <v>1.0</v>
      </c>
      <c r="C19" s="14">
        <v>-0.2</v>
      </c>
    </row>
    <row r="20">
      <c r="A20" s="8" t="s">
        <v>181</v>
      </c>
      <c r="B20" s="11">
        <v>1.0</v>
      </c>
      <c r="C20" s="19">
        <v>0.15</v>
      </c>
    </row>
    <row r="21">
      <c r="A21" s="8" t="s">
        <v>77</v>
      </c>
      <c r="B21" s="11">
        <v>1.0</v>
      </c>
      <c r="C21" s="14">
        <v>-0.03</v>
      </c>
    </row>
    <row r="22">
      <c r="A22" s="15" t="s">
        <v>25</v>
      </c>
      <c r="B22" s="3">
        <f t="shared" ref="B22:C22" si="1">AVERAGE(B2:B21)</f>
        <v>11.05</v>
      </c>
      <c r="C22" s="16">
        <f t="shared" si="1"/>
        <v>0.083</v>
      </c>
    </row>
    <row r="23">
      <c r="A23" s="8"/>
      <c r="B23" s="11"/>
      <c r="C23" s="14"/>
    </row>
    <row r="24">
      <c r="A24" s="8"/>
      <c r="B24" s="11"/>
      <c r="C24" s="14"/>
    </row>
    <row r="25">
      <c r="A25" s="8"/>
      <c r="B25" s="11"/>
      <c r="C25" s="14"/>
    </row>
    <row r="26">
      <c r="A26" s="8"/>
      <c r="B26" s="11"/>
      <c r="C26" s="14"/>
    </row>
    <row r="27">
      <c r="A27" s="8"/>
      <c r="B27" s="11"/>
      <c r="C27" s="14"/>
    </row>
    <row r="28">
      <c r="A28" s="8"/>
      <c r="B28" s="11"/>
      <c r="C28" s="14"/>
    </row>
    <row r="29">
      <c r="A29" s="8"/>
      <c r="B29" s="11"/>
      <c r="C29" s="14"/>
    </row>
    <row r="30">
      <c r="A30" s="8"/>
      <c r="B30" s="11"/>
      <c r="C30" s="14"/>
    </row>
    <row r="31">
      <c r="A31" s="8"/>
      <c r="B31" s="11"/>
      <c r="C31" s="14"/>
    </row>
    <row r="32">
      <c r="A32" s="8"/>
      <c r="B32" s="11"/>
      <c r="C32" s="14"/>
    </row>
    <row r="33">
      <c r="A33" s="8"/>
      <c r="B33" s="11"/>
      <c r="C33" s="14"/>
    </row>
    <row r="34">
      <c r="A34" s="8"/>
      <c r="B34" s="11"/>
      <c r="C34" s="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21" t="s">
        <v>29</v>
      </c>
      <c r="B1" s="21" t="s">
        <v>30</v>
      </c>
      <c r="C1" s="21" t="s">
        <v>31</v>
      </c>
    </row>
    <row r="2">
      <c r="A2" s="21" t="s">
        <v>182</v>
      </c>
      <c r="B2" s="22">
        <v>100.0</v>
      </c>
      <c r="C2" s="14">
        <v>-0.05</v>
      </c>
    </row>
    <row r="3">
      <c r="A3" s="21" t="s">
        <v>183</v>
      </c>
      <c r="B3" s="22">
        <v>99.0</v>
      </c>
      <c r="C3" s="14">
        <v>-0.05</v>
      </c>
    </row>
    <row r="4">
      <c r="A4" s="21" t="s">
        <v>184</v>
      </c>
      <c r="B4" s="22">
        <v>89.0</v>
      </c>
      <c r="C4" s="14">
        <v>-0.2</v>
      </c>
    </row>
    <row r="5">
      <c r="A5" s="21" t="s">
        <v>185</v>
      </c>
      <c r="B5" s="22">
        <v>78.0</v>
      </c>
      <c r="C5" s="14">
        <v>-0.07</v>
      </c>
    </row>
    <row r="6">
      <c r="A6" s="21" t="s">
        <v>186</v>
      </c>
      <c r="B6" s="22">
        <v>62.0</v>
      </c>
      <c r="C6" s="14">
        <v>0.0</v>
      </c>
    </row>
    <row r="7">
      <c r="A7" s="21" t="s">
        <v>187</v>
      </c>
      <c r="B7" s="22">
        <v>62.0</v>
      </c>
      <c r="C7" s="14">
        <v>0.0</v>
      </c>
    </row>
    <row r="8">
      <c r="A8" s="21" t="s">
        <v>188</v>
      </c>
      <c r="B8" s="22">
        <v>61.0</v>
      </c>
      <c r="C8" s="14">
        <v>0.08</v>
      </c>
    </row>
    <row r="9">
      <c r="A9" s="21" t="s">
        <v>189</v>
      </c>
      <c r="B9" s="22">
        <v>52.0</v>
      </c>
      <c r="C9" s="14">
        <v>-0.03</v>
      </c>
    </row>
    <row r="10">
      <c r="A10" s="21" t="s">
        <v>190</v>
      </c>
      <c r="B10" s="22">
        <v>49.0</v>
      </c>
      <c r="C10" s="14">
        <v>0.08</v>
      </c>
    </row>
    <row r="11">
      <c r="A11" s="21" t="s">
        <v>191</v>
      </c>
      <c r="B11" s="22">
        <v>36.0</v>
      </c>
      <c r="C11" s="14">
        <v>-0.04</v>
      </c>
    </row>
    <row r="12">
      <c r="A12" s="21" t="s">
        <v>192</v>
      </c>
      <c r="B12" s="22">
        <v>36.0</v>
      </c>
      <c r="C12" s="14">
        <v>-0.05</v>
      </c>
    </row>
    <row r="13">
      <c r="A13" s="21" t="s">
        <v>156</v>
      </c>
      <c r="B13" s="22">
        <v>36.0</v>
      </c>
      <c r="C13" s="14">
        <v>-0.2</v>
      </c>
    </row>
    <row r="14">
      <c r="A14" s="21" t="s">
        <v>193</v>
      </c>
      <c r="B14" s="22">
        <v>30.0</v>
      </c>
      <c r="C14" s="14">
        <v>0.04</v>
      </c>
    </row>
    <row r="15">
      <c r="A15" s="21" t="s">
        <v>194</v>
      </c>
      <c r="B15" s="22">
        <v>29.0</v>
      </c>
      <c r="C15" s="14">
        <v>-0.05</v>
      </c>
    </row>
    <row r="16">
      <c r="A16" s="21" t="s">
        <v>195</v>
      </c>
      <c r="B16" s="22">
        <v>29.0</v>
      </c>
      <c r="C16" s="14">
        <v>0.3</v>
      </c>
    </row>
    <row r="17">
      <c r="A17" s="21" t="s">
        <v>196</v>
      </c>
      <c r="B17" s="22">
        <v>26.0</v>
      </c>
      <c r="C17" s="14">
        <v>-0.04</v>
      </c>
    </row>
    <row r="18">
      <c r="A18" s="21" t="s">
        <v>197</v>
      </c>
      <c r="B18" s="22">
        <v>26.0</v>
      </c>
      <c r="C18" s="14">
        <v>-0.06</v>
      </c>
    </row>
    <row r="19">
      <c r="A19" s="21" t="s">
        <v>198</v>
      </c>
      <c r="B19" s="22">
        <v>26.0</v>
      </c>
      <c r="C19" s="14">
        <v>-0.07</v>
      </c>
    </row>
    <row r="20">
      <c r="A20" s="21" t="s">
        <v>199</v>
      </c>
      <c r="B20" s="22">
        <v>25.0</v>
      </c>
      <c r="C20" s="14">
        <v>-0.1</v>
      </c>
    </row>
    <row r="21">
      <c r="A21" s="21" t="s">
        <v>200</v>
      </c>
      <c r="B21" s="22">
        <v>23.0</v>
      </c>
      <c r="C21" s="14">
        <v>-0.1</v>
      </c>
    </row>
    <row r="22">
      <c r="A22" s="23" t="s">
        <v>25</v>
      </c>
      <c r="B22" s="24">
        <f t="shared" ref="B22:C22" si="1">AVERAGE(B2:B21)</f>
        <v>48.7</v>
      </c>
      <c r="C22" s="25">
        <f t="shared" si="1"/>
        <v>-0.0305</v>
      </c>
    </row>
    <row r="23">
      <c r="C23" s="26"/>
    </row>
    <row r="24">
      <c r="C24" s="26"/>
    </row>
    <row r="25">
      <c r="C25" s="2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8" t="s">
        <v>29</v>
      </c>
      <c r="B1" s="8" t="s">
        <v>30</v>
      </c>
      <c r="C1" s="8" t="s">
        <v>31</v>
      </c>
    </row>
    <row r="2">
      <c r="A2" s="8" t="s">
        <v>201</v>
      </c>
      <c r="B2" s="11">
        <v>100.0</v>
      </c>
      <c r="C2" s="14">
        <v>0.03</v>
      </c>
    </row>
    <row r="3">
      <c r="A3" s="8" t="s">
        <v>202</v>
      </c>
      <c r="B3" s="11">
        <v>97.0</v>
      </c>
      <c r="C3" s="14">
        <v>-0.06</v>
      </c>
    </row>
    <row r="4">
      <c r="A4" s="8" t="s">
        <v>203</v>
      </c>
      <c r="B4" s="11">
        <v>65.0</v>
      </c>
      <c r="C4" s="14">
        <v>-0.01</v>
      </c>
    </row>
    <row r="5">
      <c r="A5" s="8" t="s">
        <v>204</v>
      </c>
      <c r="B5" s="11">
        <v>64.0</v>
      </c>
      <c r="C5" s="14">
        <v>-0.01</v>
      </c>
    </row>
    <row r="6">
      <c r="A6" s="8" t="s">
        <v>205</v>
      </c>
      <c r="B6" s="11">
        <v>61.0</v>
      </c>
      <c r="C6" s="14">
        <v>0.02</v>
      </c>
    </row>
    <row r="7">
      <c r="A7" s="8" t="s">
        <v>206</v>
      </c>
      <c r="B7" s="11">
        <v>36.0</v>
      </c>
      <c r="C7" s="14">
        <v>-0.1</v>
      </c>
    </row>
    <row r="8">
      <c r="A8" s="8" t="s">
        <v>207</v>
      </c>
      <c r="B8" s="11">
        <v>34.0</v>
      </c>
      <c r="C8" s="14">
        <v>0.03</v>
      </c>
    </row>
    <row r="9">
      <c r="A9" s="8" t="s">
        <v>208</v>
      </c>
      <c r="B9" s="11">
        <v>32.0</v>
      </c>
      <c r="C9" s="14">
        <v>-0.2</v>
      </c>
    </row>
    <row r="10">
      <c r="A10" s="8" t="s">
        <v>209</v>
      </c>
      <c r="B10" s="11">
        <v>26.0</v>
      </c>
      <c r="C10" s="14">
        <v>0.0</v>
      </c>
    </row>
    <row r="11">
      <c r="A11" s="8" t="s">
        <v>210</v>
      </c>
      <c r="B11" s="11">
        <v>26.0</v>
      </c>
      <c r="C11" s="14">
        <v>-0.03</v>
      </c>
    </row>
    <row r="12">
      <c r="A12" s="8" t="s">
        <v>211</v>
      </c>
      <c r="B12" s="11">
        <v>26.0</v>
      </c>
      <c r="C12" s="14">
        <v>-0.05</v>
      </c>
    </row>
    <row r="13">
      <c r="A13" s="8" t="s">
        <v>212</v>
      </c>
      <c r="B13" s="11">
        <v>22.0</v>
      </c>
      <c r="C13" s="14">
        <v>-0.04</v>
      </c>
    </row>
    <row r="14">
      <c r="A14" s="8" t="s">
        <v>213</v>
      </c>
      <c r="B14" s="11">
        <v>22.0</v>
      </c>
      <c r="C14" s="14">
        <v>-0.05</v>
      </c>
    </row>
    <row r="15">
      <c r="A15" s="8" t="s">
        <v>214</v>
      </c>
      <c r="B15" s="11">
        <v>20.0</v>
      </c>
      <c r="C15" s="14">
        <v>-0.08</v>
      </c>
    </row>
    <row r="16">
      <c r="A16" s="8" t="s">
        <v>215</v>
      </c>
      <c r="B16" s="11">
        <v>20.0</v>
      </c>
      <c r="C16" s="14">
        <v>0.2</v>
      </c>
    </row>
    <row r="17">
      <c r="A17" s="8" t="s">
        <v>216</v>
      </c>
      <c r="B17" s="11">
        <v>20.0</v>
      </c>
      <c r="C17" s="14">
        <v>-0.1</v>
      </c>
    </row>
    <row r="18">
      <c r="A18" s="8" t="s">
        <v>217</v>
      </c>
      <c r="B18" s="11">
        <v>20.0</v>
      </c>
      <c r="C18" s="14">
        <v>-0.3</v>
      </c>
    </row>
    <row r="19">
      <c r="A19" s="8" t="s">
        <v>218</v>
      </c>
      <c r="B19" s="11">
        <v>18.0</v>
      </c>
      <c r="C19" s="14">
        <v>0.03</v>
      </c>
    </row>
    <row r="20">
      <c r="A20" s="8" t="s">
        <v>219</v>
      </c>
      <c r="B20" s="11">
        <v>17.0</v>
      </c>
      <c r="C20" s="14">
        <v>0.1</v>
      </c>
    </row>
    <row r="21">
      <c r="A21" s="8" t="s">
        <v>220</v>
      </c>
      <c r="B21" s="11">
        <v>17.0</v>
      </c>
      <c r="C21" s="14">
        <v>-0.1</v>
      </c>
    </row>
    <row r="22">
      <c r="A22" s="15" t="s">
        <v>25</v>
      </c>
      <c r="B22" s="3">
        <f t="shared" ref="B22:C22" si="1">AVERAGE(B2:B21)</f>
        <v>37.15</v>
      </c>
      <c r="C22" s="16">
        <f t="shared" si="1"/>
        <v>-0.036</v>
      </c>
    </row>
  </sheetData>
  <drawing r:id="rId1"/>
</worksheet>
</file>